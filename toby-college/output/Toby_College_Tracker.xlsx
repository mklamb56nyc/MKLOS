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 Tracker" sheetId="1" state="visible" r:id="rId3"/>
    <sheet name="Essay Prompts" sheetId="2" state="visible" r:id="rId4"/>
    <sheet name="Deadline Calendar" sheetId="3" state="visible" r:id="rId5"/>
    <sheet name="Prioritized Task List" sheetId="4" state="visible" r:id="rId6"/>
    <sheet name="Strategy &amp; Flags" sheetId="5" state="visible" r:id="rId7"/>
    <sheet name="Decision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<sst xmlns="http://schemas.openxmlformats.org/spreadsheetml/2006/main" count="888" uniqueCount="583">
  <si>
    <t xml:space="preserve">Toby — College Application Tracker  |  2026–27 (Fall 2027)  |  all 21 schools; the 10-school working shortlist is highlighted green</t>
  </si>
  <si>
    <t xml:space="preserve">School</t>
  </si>
  <si>
    <t xml:space="preserve">Tier</t>
  </si>
  <si>
    <t xml:space="preserve">On
shortlist</t>
  </si>
  <si>
    <t xml:space="preserve">Application system</t>
  </si>
  <si>
    <t xml:space="preserve">ED0 / SSEN</t>
  </si>
  <si>
    <t xml:space="preserve">ED I / SCEA</t>
  </si>
  <si>
    <t xml:space="preserve">EA</t>
  </si>
  <si>
    <t xml:space="preserve">ED II</t>
  </si>
  <si>
    <t xml:space="preserve">RA / RD</t>
  </si>
  <si>
    <t xml:space="preserve">Testing</t>
  </si>
  <si>
    <t xml:space="preserve">Recommendation letters (from whom)</t>
  </si>
  <si>
    <t xml:space="preserve">Essays required</t>
  </si>
  <si>
    <t xml:space="preserve">App fee</t>
  </si>
  <si>
    <t xml:space="preserve">Key flags</t>
  </si>
  <si>
    <t xml:space="preserve">MIT</t>
  </si>
  <si>
    <t xml:space="preserve">Ambitious</t>
  </si>
  <si>
    <t xml:space="preserve">✓</t>
  </si>
  <si>
    <t xml:space="preserve">MIT portal (not Common App)</t>
  </si>
  <si>
    <t xml:space="preserve">—</t>
  </si>
  <si>
    <t xml:space="preserve">Nov 1
→ mid-Dec</t>
  </si>
  <si>
    <t xml:space="preserve">Jan 4
→ mid-Mar</t>
  </si>
  <si>
    <t xml:space="preserve">REQUIRED</t>
  </si>
  <si>
    <t xml:space="preserve">2 teachers — one math/science + one humanities/social-science/language; + School Report (counselor)</t>
  </si>
  <si>
    <t xml:space="preserve">MIT portal: 4 main essays (~100–200w) + 4 short-response Qs (40–50w) + info box; 4 activities. No Common App essay.</t>
  </si>
  <si>
    <t xml:space="preserve">$75</t>
  </si>
  <si>
    <t xml:space="preserve">Own system &amp; timeline. EA non-binding, non-restrictive. Midyear via MIT 'Feb Updates' form. Aid: CSS + FAFSA.</t>
  </si>
  <si>
    <t xml:space="preserve">Yale</t>
  </si>
  <si>
    <t xml:space="preserve">Common App / Coalition</t>
  </si>
  <si>
    <t xml:space="preserve">SCEA Nov 1
→ mid-Dec</t>
  </si>
  <si>
    <t xml:space="preserve">Jan 2
→ by Apr 1</t>
  </si>
  <si>
    <t xml:space="preserve">REQUIRED*</t>
  </si>
  <si>
    <t xml:space="preserve">2 teachers + counselor</t>
  </si>
  <si>
    <t xml:space="preserve">Common App PS + academic-interest (≤200w) + Why-Yale (≤125w) + 4 short takes (≤200 char) + one 400w essay (1 of 3).</t>
  </si>
  <si>
    <t xml:space="preserve">$80</t>
  </si>
  <si>
    <t xml:space="preserve">SCEA is RESTRICTIVE — no other private early plan. *AP/IB no longer replace SAT/ACT.</t>
  </si>
  <si>
    <t xml:space="preserve">University of Chicago</t>
  </si>
  <si>
    <t xml:space="preserve">Sep 1–Oct 15
→ before Nov 1</t>
  </si>
  <si>
    <t xml:space="preserve">ED I ~Nov 1–3*
→ mid-Dec</t>
  </si>
  <si>
    <t xml:space="preserve">~Nov 1–3*
→ mid-Dec</t>
  </si>
  <si>
    <t xml:space="preserve">~Jan 2–6*
→ mid-Feb</t>
  </si>
  <si>
    <t xml:space="preserve">~Jan 2–6*
→ late Mar</t>
  </si>
  <si>
    <t xml:space="preserve">Test-optional</t>
  </si>
  <si>
    <t xml:space="preserve">2 teachers + counselor. SSEN: may reuse Summer Session recs; counselor letter waivable.</t>
  </si>
  <si>
    <t xml:space="preserve">Common App PS + Why-UChicago (300–600w) + extended 'Uncommon' essay (500–700w).</t>
  </si>
  <si>
    <t xml:space="preserve">Toby SSEN-ELIGIBLE via pre-college Intensive Japanese (binding ED0, decision before Nov 1 — see Strategy). EA non-restrictive; ED I/II &amp; SSEN BINDING. No CSS (FAFSA + UChicago worksheet). *Confirm dates.</t>
  </si>
  <si>
    <t xml:space="preserve">Brown</t>
  </si>
  <si>
    <t xml:space="preserve">Match</t>
  </si>
  <si>
    <t xml:space="preserve">Common App only</t>
  </si>
  <si>
    <t xml:space="preserve">ED Nov 1
→ mid-Dec</t>
  </si>
  <si>
    <t xml:space="preserve">Jan 5
→ early Apr</t>
  </si>
  <si>
    <t xml:space="preserve">Common App PS + 3 essays (200–250w) + 3 short answers</t>
  </si>
  <si>
    <t xml:space="preserve">ED is BINDING.</t>
  </si>
  <si>
    <t xml:space="preserve">Columbia</t>
  </si>
  <si>
    <t xml:space="preserve">Jan 1
→ late Mar</t>
  </si>
  <si>
    <t xml:space="preserve">Test-optional this cycle</t>
  </si>
  <si>
    <t xml:space="preserve">Common App PS + list Q (100w) + 5 short essays (150w each)</t>
  </si>
  <si>
    <t xml:space="preserve">$85</t>
  </si>
  <si>
    <t xml:space="preserve">ED BINDING. Test-required starting NEXT cycle. Apply to Columbia College or Engineering.</t>
  </si>
  <si>
    <t xml:space="preserve">Cornell</t>
  </si>
  <si>
    <t xml:space="preserve">Common App</t>
  </si>
  <si>
    <t xml:space="preserve">Jan 2
→ late Mar/Apr</t>
  </si>
  <si>
    <t xml:space="preserve">Common App PS + university essay (~350w) + college-specific essay (Eng = 7 pieces)</t>
  </si>
  <si>
    <t xml:space="preserve">ED BINDING. Apply to ONE specific undergraduate college; prompts differ by college.</t>
  </si>
  <si>
    <t xml:space="preserve">Princeton</t>
  </si>
  <si>
    <t xml:space="preserve">2 teachers (core) + counselor</t>
  </si>
  <si>
    <t xml:space="preserve">Common App PS + academic + activity + civic-engagement essays + 3 short answers (50w) + GRADED PAPER</t>
  </si>
  <si>
    <t xml:space="preserve">SCEA RESTRICTIVE (like Yale). Needs a graded English/history paper.</t>
  </si>
  <si>
    <t xml:space="preserve">UPenn</t>
  </si>
  <si>
    <t xml:space="preserve">Jan 5
→ by Apr 1</t>
  </si>
  <si>
    <t xml:space="preserve">Common App PS + thank-you note + community essay + school-specific essay (all 150–200w)</t>
  </si>
  <si>
    <t xml:space="preserve">ED BINDING. Apply to one of four schools (A&amp;S, Wharton, Engineering, Nursing).</t>
  </si>
  <si>
    <t xml:space="preserve">Williams</t>
  </si>
  <si>
    <t xml:space="preserve">ED Nov 15
→ by Dec 15</t>
  </si>
  <si>
    <t xml:space="preserve">Common App PS only (optional academic paper)</t>
  </si>
  <si>
    <t xml:space="preserve">$65</t>
  </si>
  <si>
    <t xml:space="preserve">ED BINDING. Later Nov 15 ED date.</t>
  </si>
  <si>
    <t xml:space="preserve">Swarthmore</t>
  </si>
  <si>
    <t xml:space="preserve">ED I Nov 15
→ mid-Dec</t>
  </si>
  <si>
    <t xml:space="preserve">Jan 4
→ mid-Feb</t>
  </si>
  <si>
    <t xml:space="preserve">Jan 4
→ by Apr 1</t>
  </si>
  <si>
    <t xml:space="preserve">Common App PS + 2 short essays (250w each: identity/community + curiosity)</t>
  </si>
  <si>
    <t xml:space="preserve">$60</t>
  </si>
  <si>
    <t xml:space="preserve">ED I &amp; II BINDING.</t>
  </si>
  <si>
    <t xml:space="preserve">Wesleyan</t>
  </si>
  <si>
    <t xml:space="preserve">High confidence</t>
  </si>
  <si>
    <t xml:space="preserve">ED I Nov 15
→ by Dec 15</t>
  </si>
  <si>
    <t xml:space="preserve">Jan 1
→ by Feb 15</t>
  </si>
  <si>
    <t xml:space="preserve">2 teachers (1 STEM + 1 humanities pref.) + counselor</t>
  </si>
  <si>
    <t xml:space="preserve">Common App PS only (optional creative supplement)</t>
  </si>
  <si>
    <t xml:space="preserve">Vassar</t>
  </si>
  <si>
    <t xml:space="preserve">~Jan 14*
→ mid-Feb</t>
  </si>
  <si>
    <t xml:space="preserve">~Jan 1–4*
→ late Mar</t>
  </si>
  <si>
    <t xml:space="preserve">Common App PS + 1 required essay (300w, choose 1 of 2) + optional 'Your Space'</t>
  </si>
  <si>
    <t xml:space="preserve">ED I &amp; II BINDING. *Confirm ED II/RD dates.</t>
  </si>
  <si>
    <t xml:space="preserve">Oberlin</t>
  </si>
  <si>
    <t xml:space="preserve">ED I ~Nov 15
→ Dec</t>
  </si>
  <si>
    <t xml:space="preserve">~Jan 2
→ Feb</t>
  </si>
  <si>
    <t xml:space="preserve">Jan 15*
→ late Mar</t>
  </si>
  <si>
    <t xml:space="preserve">1 teacher (core) + counselor</t>
  </si>
  <si>
    <t xml:space="preserve">Common App PS only. No required supplement.</t>
  </si>
  <si>
    <t xml:space="preserve">~$65</t>
  </si>
  <si>
    <t xml:space="preserve">ED I &amp; II BINDING. *Also references an EA option — confirm.</t>
  </si>
  <si>
    <t xml:space="preserve">Connecticut College</t>
  </si>
  <si>
    <t xml:space="preserve">confirm date*</t>
  </si>
  <si>
    <t xml:space="preserve">Jan 15
→ Feb</t>
  </si>
  <si>
    <t xml:space="preserve">Jan 15
→ late Mar</t>
  </si>
  <si>
    <t xml:space="preserve">2 teachers + counselor (+ optional peer rec)</t>
  </si>
  <si>
    <t xml:space="preserve">$0 (no fee)</t>
  </si>
  <si>
    <t xml:space="preserve">ED I/II BINDING. No application fee. *Confirm EA deadline.</t>
  </si>
  <si>
    <t xml:space="preserve">Tufts</t>
  </si>
  <si>
    <t xml:space="preserve">ED I ~Nov 1–3
→ mid-Dec</t>
  </si>
  <si>
    <t xml:space="preserve">~Jan 4–5
→ early Feb</t>
  </si>
  <si>
    <t xml:space="preserve">~Jan 4–5
→ by Apr 1</t>
  </si>
  <si>
    <t xml:space="preserve">Test-optional*</t>
  </si>
  <si>
    <t xml:space="preserve">Counselor + ≥1 core teacher</t>
  </si>
  <si>
    <t xml:space="preserve">Common App PS + 2 short supplements (incl. program-specific)</t>
  </si>
  <si>
    <t xml:space="preserve">ED I &amp; II BINDING. *Confirm TO extension.</t>
  </si>
  <si>
    <t xml:space="preserve">NYU</t>
  </si>
  <si>
    <t xml:space="preserve">ED I Nov 1
→ mid-Dec</t>
  </si>
  <si>
    <t xml:space="preserve">Jan 1
→ mid-Feb</t>
  </si>
  <si>
    <t xml:space="preserve">Jan 5
→ ~Apr 1</t>
  </si>
  <si>
    <t xml:space="preserve">Test-optional / flexible</t>
  </si>
  <si>
    <t xml:space="preserve">1 teacher + counselor</t>
  </si>
  <si>
    <t xml:space="preserve">Common App PS + 'Why NYU' (~400w)</t>
  </si>
  <si>
    <t xml:space="preserve">ED I &amp; II BINDING. Apply to a specific NYU school.</t>
  </si>
  <si>
    <t xml:space="preserve">University of Washington</t>
  </si>
  <si>
    <t xml:space="preserve">ApplyWeb (UW) or Common App</t>
  </si>
  <si>
    <t xml:space="preserve">Nov 15 (only)
→ by mid-Mar</t>
  </si>
  <si>
    <t xml:space="preserve">None required</t>
  </si>
  <si>
    <t xml:space="preserve">UW-specific essay (~650w) + short response (~300w). Does NOT use the Common App essay.</t>
  </si>
  <si>
    <t xml:space="preserve">One deadline for all (public). Direct-to-major for some majors (e.g. CS/eng).</t>
  </si>
  <si>
    <t xml:space="preserve">RIT</t>
  </si>
  <si>
    <t xml:space="preserve">Common App or RIT app</t>
  </si>
  <si>
    <t xml:space="preserve">ED I Nov 1
→ ~early Jan</t>
  </si>
  <si>
    <t xml:space="preserve">Nov 1
→ late Mar</t>
  </si>
  <si>
    <t xml:space="preserve">Jan 1
→ ~early Feb</t>
  </si>
  <si>
    <t xml:space="preserve">1 recommendation</t>
  </si>
  <si>
    <t xml:space="preserve">Common App PS + 1 RIT supplemental essay</t>
  </si>
  <si>
    <t xml:space="preserve">ED I/II BINDING; EA non-binding. STEM + ACT → add optional Science section.</t>
  </si>
  <si>
    <t xml:space="preserve">Ithaca College</t>
  </si>
  <si>
    <t xml:space="preserve">ED Nov 1
→ by Dec 15</t>
  </si>
  <si>
    <t xml:space="preserve">Dec 1
→ rolling by Feb 1</t>
  </si>
  <si>
    <t xml:space="preserve">Feb 1
→ rolling by Apr 15</t>
  </si>
  <si>
    <t xml:space="preserve">Common App PS. No general supplement (arts: audition/portfolio).</t>
  </si>
  <si>
    <t xml:space="preserve">$60 (free ED)</t>
  </si>
  <si>
    <t xml:space="preserve">ED BINDING. Toby well above profile — likely admit / safety.</t>
  </si>
  <si>
    <t xml:space="preserve">Baruch (CUNY)</t>
  </si>
  <si>
    <t xml:space="preserve">CUNY app (1 app → up to 6 colleges)</t>
  </si>
  <si>
    <t xml:space="preserve">Feb 1 priority
→ rolling from mid-Feb</t>
  </si>
  <si>
    <t xml:space="preserve">Test-optional (thru Spr 2027)</t>
  </si>
  <si>
    <t xml:space="preserve">1 academic recommendation (Macaulay needs 2)</t>
  </si>
  <si>
    <t xml:space="preserve">CUNY application essay (some colleges have own topics)</t>
  </si>
  <si>
    <t xml:space="preserve">~$65 (one fee)</t>
  </si>
  <si>
    <t xml:space="preserve">~48% overall but SAFETY for his stats (median SAT ~1280). Zicklin business more competitive (~40–45%). Macaulay Honors = separate app (2 essays + 2 recs).</t>
  </si>
  <si>
    <t xml:space="preserve">University of Minnesota</t>
  </si>
  <si>
    <t xml:space="preserve">Common App or Golden Gopher app</t>
  </si>
  <si>
    <t xml:space="preserve">EA I: Nov 1
EA II: Dec 1
→ by ~Jan 31</t>
  </si>
  <si>
    <t xml:space="preserve">RD: Jan 1
→ rolling</t>
  </si>
  <si>
    <t xml:space="preserve">None required (self-reported grades; recs &amp; transcript not required)</t>
  </si>
  <si>
    <t xml:space="preserve">1 short essay (which of UMN's 8 colleges &amp; 150+ majors, and why).</t>
  </si>
  <si>
    <t xml:space="preserve">$55</t>
  </si>
  <si>
    <t xml:space="preserve">Twin Cities flagship SAFETY (~75–80%). Non-binding EA. No demonstrated interest. Auto-considered for other UMN colleges.</t>
  </si>
  <si>
    <t xml:space="preserve">GREEN rows = the 10-school working shortlist (Ambitious: MIT, Yale, UChicago · Match: UPenn, Columbia, Swarthmore · High confidence: Vassar, RIT, Wesleyan, U Minnesota). The Deadline Calendar, Task List, and Strategy tabs are scoped to these 10; this grid keeps all 21 for reference. Tier colours: red = Ambitious, amber = Match, green = High confidence. Each round cell = deadline → notification. Amber Testing = SAT/ACT required.</t>
  </si>
  <si>
    <t xml:space="preserve">Actual Essay Prompts — official sources (all schools; shortlisted 10 marked ★)</t>
  </si>
  <si>
    <t xml:space="preserve">Essay piece</t>
  </si>
  <si>
    <t xml:space="preserve">Prompt / question</t>
  </si>
  <si>
    <t xml:space="preserve">Limit</t>
  </si>
  <si>
    <t xml:space="preserve">Required?</t>
  </si>
  <si>
    <t xml:space="preserve">★ MIT  —  MIT portal, 2026–27. No Common App essay.  Link: mitadmissions.org/apply/firstyear/essays-activities-academics</t>
  </si>
  <si>
    <t xml:space="preserve">Main essay 1 — Academic interest</t>
  </si>
  <si>
    <t xml:space="preserve">Pick the field of study that most appeals to you now (drop-down), then reflect on what led you to that interest.</t>
  </si>
  <si>
    <t xml:space="preserve">~100–200 words</t>
  </si>
  <si>
    <t xml:space="preserve">Required</t>
  </si>
  <si>
    <t xml:space="preserve">Main essay 2 — Your own path</t>
  </si>
  <si>
    <t xml:space="preserve">Some follow well-trodden paths while others blaze their own: describe a way you've done something different from what was expected in your educational journey.</t>
  </si>
  <si>
    <t xml:space="preserve">Main essay 3 — Problems &amp; people</t>
  </si>
  <si>
    <t xml:space="preserve">Reflect on how your personal and academic experiences shape the problems you'd want to tackle with an MIT education — and who you'd work on them with.</t>
  </si>
  <si>
    <t xml:space="preserve">Main essay 4 — Unexpected challenge</t>
  </si>
  <si>
    <t xml:space="preserve">How did you handle a situation or challenge you didn't expect, and what did you learn?</t>
  </si>
  <si>
    <t xml:space="preserve">Additional info (open box)</t>
  </si>
  <si>
    <t xml:space="preserve">Open space to share anything else MIT should know (MIT expects most students to write something).</t>
  </si>
  <si>
    <t xml:space="preserve">Open-ended</t>
  </si>
  <si>
    <t xml:space="preserve">Optional (encouraged)</t>
  </si>
  <si>
    <t xml:space="preserve">Short response — Fun</t>
  </si>
  <si>
    <t xml:space="preserve">What do you do just for fun?</t>
  </si>
  <si>
    <t xml:space="preserve">40–50 words</t>
  </si>
  <si>
    <t xml:space="preserve">Short response — Admire</t>
  </si>
  <si>
    <t xml:space="preserve">Someone you admire (in person or from afar) — and why.</t>
  </si>
  <si>
    <t xml:space="preserve">Short response — Talk for hours</t>
  </si>
  <si>
    <t xml:space="preserve">A topic (academic or not) you could talk about for hours.</t>
  </si>
  <si>
    <t xml:space="preserve">Short response — Generalist/specialist</t>
  </si>
  <si>
    <t xml:space="preserve">MIT values both generalists and specialists — which best describes you, and why?</t>
  </si>
  <si>
    <t xml:space="preserve">Activities</t>
  </si>
  <si>
    <t xml:space="preserve">List the four activities that mean the most to you.</t>
  </si>
  <si>
    <t xml:space="preserve">Up to 4</t>
  </si>
  <si>
    <t xml:space="preserve">★ YALE  —  Common App / Coalition / QuestBridge + Yale questions. Most recent confirmed set (2025–26).  Link: admissions.yale.edu/essay-topics</t>
  </si>
  <si>
    <t xml:space="preserve">Common App personal statement</t>
  </si>
  <si>
    <t xml:space="preserve">Standard 650-word Common App essay.</t>
  </si>
  <si>
    <t xml:space="preserve">≤650 words</t>
  </si>
  <si>
    <t xml:space="preserve">Academic areas (selection)</t>
  </si>
  <si>
    <t xml:space="preserve">Select up to three academic areas that fit your interests/goals (selection, no writing).</t>
  </si>
  <si>
    <t xml:space="preserve">Pick ≤3</t>
  </si>
  <si>
    <t xml:space="preserve">Academic-interest essay</t>
  </si>
  <si>
    <t xml:space="preserve">A topic or idea that excites you within those areas — why are you drawn to it?</t>
  </si>
  <si>
    <t xml:space="preserve">≤200 words</t>
  </si>
  <si>
    <t xml:space="preserve">Why Yale</t>
  </si>
  <si>
    <t xml:space="preserve">Reflect on how your interests, values, and/or experiences have drawn you to Yale.</t>
  </si>
  <si>
    <t xml:space="preserve">≤125 words</t>
  </si>
  <si>
    <t xml:space="preserve">Short take — Inspires</t>
  </si>
  <si>
    <t xml:space="preserve">What inspires you?</t>
  </si>
  <si>
    <t xml:space="preserve">≤200 characters</t>
  </si>
  <si>
    <t xml:space="preserve">Required (Common/Coalition)</t>
  </si>
  <si>
    <t xml:space="preserve">Short take — Teach/write/create</t>
  </si>
  <si>
    <t xml:space="preserve">If you could teach any college course, write a book, or create any original piece of art — what would it be?</t>
  </si>
  <si>
    <t xml:space="preserve">Short take — Influence</t>
  </si>
  <si>
    <t xml:space="preserve">Other than a family member, who has significantly influenced you — and what was the impact?</t>
  </si>
  <si>
    <t xml:space="preserve">Short take — Not elsewhere</t>
  </si>
  <si>
    <t xml:space="preserve">Something about you not included anywhere else in your application.</t>
  </si>
  <si>
    <t xml:space="preserve">400-word essay (choose 1 of 3)</t>
  </si>
  <si>
    <t xml:space="preserve">A: an issue you discussed with someone holding an opposing view — why meaningful.  B: a community you feel connected to — why meaningful.  C: an element of your experience that will enrich your college — how it shaped you.</t>
  </si>
  <si>
    <t xml:space="preserve">≤400 words</t>
  </si>
  <si>
    <t xml:space="preserve">Required (choose 1)</t>
  </si>
  <si>
    <t xml:space="preserve">Arts / STEM supplement</t>
  </si>
  <si>
    <t xml:space="preserve">Optional Visual Art, Dance, Music, Film, or STEM research materials.</t>
  </si>
  <si>
    <t xml:space="preserve">Portfolio</t>
  </si>
  <si>
    <t xml:space="preserve">Optional</t>
  </si>
  <si>
    <t xml:space="preserve">★ UNIVERSITY OF CHICAGO  —  Common App / Coalition + UChicago questions, 2026–27. Five 'Uncommon' prompts change yearly — exact wording at link.  Link: collegeadmissions.uchicago.edu</t>
  </si>
  <si>
    <t xml:space="preserve">Why UChicago</t>
  </si>
  <si>
    <t xml:space="preserve">How does UChicago, as you know it now, satisfy your desire for a particular kind of learning, community, and future? Be specific.</t>
  </si>
  <si>
    <t xml:space="preserve">~300–600 words</t>
  </si>
  <si>
    <t xml:space="preserve">Extended 'Uncommon' essay</t>
  </si>
  <si>
    <t xml:space="preserve">Choose ONE of UChicago's five signature quirky prompts (change yearly), OR invent your own / use any past prompt.</t>
  </si>
  <si>
    <t xml:space="preserve">~500–700 words</t>
  </si>
  <si>
    <t xml:space="preserve">BROWN  —  Common App. 2025–26 set.  Link: admission.brown.edu/apply/how-apply</t>
  </si>
  <si>
    <t xml:space="preserve">Open Curriculum / academic interest</t>
  </si>
  <si>
    <t xml:space="preserve">Tell us about academic interests that excite you and how you might pursue them at Brown (Open Curriculum).</t>
  </si>
  <si>
    <t xml:space="preserve">200–250 words</t>
  </si>
  <si>
    <t xml:space="preserve">Where you grew up</t>
  </si>
  <si>
    <t xml:space="preserve">How an aspect of your growing up inspired or challenged you, and what you'd contribute to Brown.</t>
  </si>
  <si>
    <t xml:space="preserve">Joy</t>
  </si>
  <si>
    <t xml:space="preserve">Something that brings you joy.</t>
  </si>
  <si>
    <t xml:space="preserve">Short answers (×3)</t>
  </si>
  <si>
    <t xml:space="preserve">Three words that describe you; a ~100-word short answer; a one-sentence Why Brown (≤50 words).</t>
  </si>
  <si>
    <t xml:space="preserve">3w / ~100w / ≤50w</t>
  </si>
  <si>
    <t xml:space="preserve">★ COLUMBIA  —  Common App / Coalition. 2025–26 set.  Link: undergrad.admissions.columbia.edu/apply/firstyear</t>
  </si>
  <si>
    <t xml:space="preserve">List question</t>
  </si>
  <si>
    <t xml:space="preserve">List texts/resources/outlets that shaped your intellectual development outside coursework (list only; no author names or explanations).</t>
  </si>
  <si>
    <t xml:space="preserve">≤100 words</t>
  </si>
  <si>
    <t xml:space="preserve">Lived experience</t>
  </si>
  <si>
    <t xml:space="preserve">An aspect of your life/lived experience important to you, and how it shaped how you'd learn from and contribute to Columbia.</t>
  </si>
  <si>
    <t xml:space="preserve">≤150 words</t>
  </si>
  <si>
    <t xml:space="preserve">Perspectives</t>
  </si>
  <si>
    <t xml:space="preserve">How you learn and thrive across a wide range of perspectives.</t>
  </si>
  <si>
    <t xml:space="preserve">Resilience / adversity</t>
  </si>
  <si>
    <t xml:space="preserve">A time you faced adversity and what you took from it.</t>
  </si>
  <si>
    <t xml:space="preserve">Why Columbia</t>
  </si>
  <si>
    <t xml:space="preserve">Why you're drawn to Columbia specifically.</t>
  </si>
  <si>
    <t xml:space="preserve">Why major</t>
  </si>
  <si>
    <t xml:space="preserve">Why your intended field (differs for Columbia College vs. Engineering).</t>
  </si>
  <si>
    <t xml:space="preserve">CORNELL  —  Common App. Apply to ONE college; each has its own essay. 2026–27 university-essay wording posts late summer.  Link: admissions.cornell.edu/how-to-apply/first-year-applicants/cornell-first-year-writing-supplement-prompts</t>
  </si>
  <si>
    <t xml:space="preserve">Cornell University essay</t>
  </si>
  <si>
    <t xml:space="preserve">How you've been shaped by one of the communities you belong to (define community however you like).</t>
  </si>
  <si>
    <t xml:space="preserve">~350 words</t>
  </si>
  <si>
    <t xml:space="preserve">Required (everyone)</t>
  </si>
  <si>
    <t xml:space="preserve">College-specific essay</t>
  </si>
  <si>
    <t xml:space="preserve">One essay for the Cornell college you apply to (CALS ~500w; A&amp;S, AAP, Brooks, Dyson, ILR ~650w; Human Ecology ~600w).</t>
  </si>
  <si>
    <t xml:space="preserve">500–650 words</t>
  </si>
  <si>
    <t xml:space="preserve">Engineering (if applying)</t>
  </si>
  <si>
    <t xml:space="preserve">Two 200-word essays + four 100-word short answers (seven pieces).</t>
  </si>
  <si>
    <t xml:space="preserve">2×200w + 4×100w</t>
  </si>
  <si>
    <t xml:space="preserve">Engineering only</t>
  </si>
  <si>
    <t xml:space="preserve">PRINCETON  —  Common App + Princeton questions. 2025–26 set.  Link: admission.princeton.edu/apply</t>
  </si>
  <si>
    <t xml:space="preserve">Academic interest (Why major)</t>
  </si>
  <si>
    <t xml:space="preserve">A.B./undecided: which academic areas most pique your curiosity, and how do Princeton's programs suit them?  B.S.E.: why study engineering at Princeton.</t>
  </si>
  <si>
    <t xml:space="preserve">~250 words</t>
  </si>
  <si>
    <t xml:space="preserve">Activity / extracurricular</t>
  </si>
  <si>
    <t xml:space="preserve">Briefly elaborate on a meaningful activity, organization, work experience, or hobby.</t>
  </si>
  <si>
    <t xml:space="preserve">~150 words</t>
  </si>
  <si>
    <t xml:space="preserve">Service &amp; civic engagement</t>
  </si>
  <si>
    <t xml:space="preserve">Princeton's commitment is to service &amp; civic engagement. How does your own story intersect with these ideals?</t>
  </si>
  <si>
    <t xml:space="preserve">≤250 words</t>
  </si>
  <si>
    <t xml:space="preserve">A new skill you'd like to learn in college; what brings you joy; a song that's the soundtrack of your life.</t>
  </si>
  <si>
    <t xml:space="preserve">≤50 words each</t>
  </si>
  <si>
    <t xml:space="preserve">Graded written paper</t>
  </si>
  <si>
    <t xml:space="preserve">Submit a graded paper (preferably English/history) with the teacher's marks — a required document.</t>
  </si>
  <si>
    <t xml:space="preserve">1–2 pages</t>
  </si>
  <si>
    <t xml:space="preserve">★ UPENN  —  Common App / Coalition. Apply to one of four schools. 2025–26 set.  Link: admissions.upenn.edu/how-to-apply/first-year-applicants</t>
  </si>
  <si>
    <t xml:space="preserve">Thank-you note</t>
  </si>
  <si>
    <t xml:space="preserve">Write a short thank-you note to someone you haven't yet thanked (you're encouraged to actually share it).</t>
  </si>
  <si>
    <t xml:space="preserve">150–200 words</t>
  </si>
  <si>
    <t xml:space="preserve">Community at Penn</t>
  </si>
  <si>
    <t xml:space="preserve">How will you explore community at Penn? How will Penn shape your perspective, and how will you shape Penn?</t>
  </si>
  <si>
    <t xml:space="preserve">School-specific essay</t>
  </si>
  <si>
    <t xml:space="preserve">One essay for your intended school (Arts &amp; Sciences, Wharton, Engineering, or Nursing).</t>
  </si>
  <si>
    <t xml:space="preserve">Dual-degree / specialized (if applying)</t>
  </si>
  <si>
    <t xml:space="preserve">M&amp;T, Huntsman, LSM, VIPER, NHCM, DMD, etc. require extra program essays.</t>
  </si>
  <si>
    <t xml:space="preserve">250–650 words</t>
  </si>
  <si>
    <t xml:space="preserve">If applicable</t>
  </si>
  <si>
    <t xml:space="preserve">★ SWARTHMORE  —  Common App / Coalition. 2025–26 set.  Link: swarthmore.edu/admissions-aid/application-materials-deadlines</t>
  </si>
  <si>
    <t xml:space="preserve">Identity &amp; community</t>
  </si>
  <si>
    <t xml:space="preserve">Tell us about a part of your identity and how you engage with communities (diverse, equitable, inclusive inquiry).</t>
  </si>
  <si>
    <t xml:space="preserve">Curiosity</t>
  </si>
  <si>
    <t xml:space="preserve">A topic or idea that recently sparked your curiosity.</t>
  </si>
  <si>
    <t xml:space="preserve">★ VASSAR  —  Common App / Coalition. 2025–26 set.  Link: vassar.edu/admission/apply/requirements</t>
  </si>
  <si>
    <t xml:space="preserve">Community / identity (choose 1 of 2)</t>
  </si>
  <si>
    <t xml:space="preserve">Option A (engaged pluralism) or Option B (a community that shaped you): an important part of your identity/background and how it shapes what you'd bring to Vassar.</t>
  </si>
  <si>
    <t xml:space="preserve">≤300 words</t>
  </si>
  <si>
    <t xml:space="preserve">'Your Space' (optional)</t>
  </si>
  <si>
    <t xml:space="preserve">Optional creative upload — poetry, art, photography, video, collage, etc.</t>
  </si>
  <si>
    <t xml:space="preserve">Any medium</t>
  </si>
  <si>
    <t xml:space="preserve">TUFTS  —  Common App / Coalition. 2025–26 set.  Link: admissions.tufts.edu/apply/applying-to-tufts</t>
  </si>
  <si>
    <t xml:space="preserve">How you engaged with Tufts</t>
  </si>
  <si>
    <t xml:space="preserve">How you've learned about and engaged with Tufts during your search (demonstrated interest counts).</t>
  </si>
  <si>
    <t xml:space="preserve">Second short answer (by program)</t>
  </si>
  <si>
    <t xml:space="preserve">A&amp;S / Engineering: choose one (intellectual curiosity; how your environment shaped you; your journey with social justice). SMFA/Combined: portfolio-linked.</t>
  </si>
  <si>
    <t xml:space="preserve">~200–250 words</t>
  </si>
  <si>
    <t xml:space="preserve">NYU  —  Common App. 2025–26 set.  Link: nyu.edu/admissions</t>
  </si>
  <si>
    <t xml:space="preserve">Why NYU</t>
  </si>
  <si>
    <t xml:space="preserve">What motivated you to apply to NYU, and why the particular campus/school/college/program/area of study?</t>
  </si>
  <si>
    <t xml:space="preserve">~400 words</t>
  </si>
  <si>
    <t xml:space="preserve">UNIVERSITY OF WASHINGTON  —  UW's own app or Common App. UW does NOT read the Common App essay.  Link: admit.washington.edu/apply/first-year/how-to-apply</t>
  </si>
  <si>
    <t xml:space="preserve">Personal statement</t>
  </si>
  <si>
    <t xml:space="preserve">A story from your life that demonstrates or shaped your character (UW's personal statement, used instead of the Common App essay).</t>
  </si>
  <si>
    <t xml:space="preserve">up to ~650 words</t>
  </si>
  <si>
    <t xml:space="preserve">Short response</t>
  </si>
  <si>
    <t xml:space="preserve">Why are you excited to push your education outside the areas you're most comfortable with?</t>
  </si>
  <si>
    <t xml:space="preserve">~300 words</t>
  </si>
  <si>
    <t xml:space="preserve">Required*</t>
  </si>
  <si>
    <t xml:space="preserve">Additional information (optional)</t>
  </si>
  <si>
    <t xml:space="preserve">Optional space for hardships, work/family obligations, or unusual limitations/opportunities.</t>
  </si>
  <si>
    <t xml:space="preserve">~200 words</t>
  </si>
  <si>
    <t xml:space="preserve">★ RIT  —  Common App or RIT application.  Link: rit.edu/admissions/first-year-application</t>
  </si>
  <si>
    <t xml:space="preserve">RIT supplemental essay</t>
  </si>
  <si>
    <t xml:space="preserve">One RIT-specific essay on your intended path — the outcome you hope to achieve and how you've prepared for RIT's hands-on education.</t>
  </si>
  <si>
    <t xml:space="preserve">1 essay</t>
  </si>
  <si>
    <t xml:space="preserve">BARUCH (CUNY)  —  one CUNY application (up to 6 colleges). Essay + 1 rec now required.  Link: cuny.edu/admissions/undergraduate/apply</t>
  </si>
  <si>
    <t xml:space="preserve">CUNY application essay</t>
  </si>
  <si>
    <t xml:space="preserve">A personal essay is now required. Some colleges use their own topics (e.g., Hunter: 'tell us something meaningful about yourself not reflected elsewhere', ≤500w).</t>
  </si>
  <si>
    <t xml:space="preserve">~500 words</t>
  </si>
  <si>
    <t xml:space="preserve">Macaulay Honors (if applying)</t>
  </si>
  <si>
    <t xml:space="preserve">Macaulay Honors College requires two additional essays (separate application).</t>
  </si>
  <si>
    <t xml:space="preserve">2 essays</t>
  </si>
  <si>
    <t xml:space="preserve">Macaulay only</t>
  </si>
  <si>
    <t xml:space="preserve">★ UNIVERSITY OF MINNESOTA (Twin Cities)  —  Common App or Golden Gopher app. No recs/transcript required (self-reported grades).  Link: admissions.tc.umn.edu/apply</t>
  </si>
  <si>
    <t xml:space="preserve">UMN short essay</t>
  </si>
  <si>
    <t xml:space="preserve">The U of M has 8 freshman-admitting colleges and 150+ majors — which college(s)/major(s) fit your interests, and why?</t>
  </si>
  <si>
    <t xml:space="preserve">~1 short essay</t>
  </si>
  <si>
    <t xml:space="preserve">NO SCHOOL-SPECIFIC ESSAY  —  Common App personal statement (≤650 words) only:</t>
  </si>
  <si>
    <t xml:space="preserve">Personal statement only. Optional 3–5 page graded/academic paper.  Link: williams.edu/admission-aid/how-to-apply/first-year</t>
  </si>
  <si>
    <t xml:space="preserve">PS only</t>
  </si>
  <si>
    <t xml:space="preserve">Personal statement only; no supplement.  Link: oberlin.edu/admissions-and-aid/arts-and-sciences/first-year-applicants</t>
  </si>
  <si>
    <t xml:space="preserve">Personal statement only; no supplement and no application fee.  Link: conncoll.edu/admission/apply</t>
  </si>
  <si>
    <t xml:space="preserve">Personal statement; no general supplement (some arts majors audition/portfolio).  Link: ithaca.edu/admission/undergraduate-admission/apply-ic</t>
  </si>
  <si>
    <t xml:space="preserve">★ = on the 10-school shortlist. Prompts shown are the current published questions (mostly 2025–26; MIT &amp; UChicago are 2026–27). The official link in each banner has the exact, current verbatim wording — 2026–27 supplements finalize when the Common App opens ~Aug 1. UChicago's five creative 'Uncommon' prompts change yearly.</t>
  </si>
  <si>
    <t xml:space="preserve">Deadline Calendar — shortlist of 10 (2026–27)</t>
  </si>
  <si>
    <t xml:space="preserve">Date</t>
  </si>
  <si>
    <t xml:space="preserve">What's due</t>
  </si>
  <si>
    <t xml:space="preserve">Schools / round</t>
  </si>
  <si>
    <t xml:space="preserve">Notes</t>
  </si>
  <si>
    <t xml:space="preserve">Aug 1, 2026</t>
  </si>
  <si>
    <t xml:space="preserve">Common App &amp; most portals open</t>
  </si>
  <si>
    <t xml:space="preserve">Yale, UChicago, UPenn, Columbia, Swarthmore, Vassar, Wesleyan, RIT</t>
  </si>
  <si>
    <t xml:space="preserve">MIT portal ~Aug/Sept; U Minnesota via Common App or Golden Gopher.</t>
  </si>
  <si>
    <t xml:space="preserve">Sept 1 – Oct 15, 2026</t>
  </si>
  <si>
    <t xml:space="preserve">UChicago SSEN (ED0) window</t>
  </si>
  <si>
    <t xml:space="preserve">University of Chicago (binding)</t>
  </si>
  <si>
    <t xml:space="preserve">Toby's earliest, binding shot (pre-college students). Decision BEFORE Nov 1; relaxed rec rules.</t>
  </si>
  <si>
    <t xml:space="preserve">Oct 1, 2026</t>
  </si>
  <si>
    <t xml:space="preserve">FAFSA (2027–28) &amp; CSS Profile open</t>
  </si>
  <si>
    <t xml:space="preserve">All (aid)</t>
  </si>
  <si>
    <t xml:space="preserve">CSS for Yale, MIT, UPenn, Columbia, Swarthmore, Vassar, Wesleyan, RIT. UChicago = own worksheet. U Minnesota = FAFSA only.</t>
  </si>
  <si>
    <t xml:space="preserve">Nov 1, 2026</t>
  </si>
  <si>
    <t xml:space="preserve">Biggest early deadline</t>
  </si>
  <si>
    <t xml:space="preserve">MIT EA · UChicago EA/ED I · UPenn ED · Columbia ED · RIT ED I/EA · U Minnesota EA I</t>
  </si>
  <si>
    <t xml:space="preserve">Pick ONE early lane first (Strategy tab). Yale SCEA is also Nov 1 if you go that way.</t>
  </si>
  <si>
    <t xml:space="preserve">Nov 15, 2026</t>
  </si>
  <si>
    <t xml:space="preserve">LAC early deadline</t>
  </si>
  <si>
    <t xml:space="preserve">Swarthmore ED I · Vassar ED I · Wesleyan ED I</t>
  </si>
  <si>
    <t xml:space="preserve">ED is BINDING — only one allowed.</t>
  </si>
  <si>
    <t xml:space="preserve">Dec 1, 2026</t>
  </si>
  <si>
    <t xml:space="preserve">Early Action II / priority</t>
  </si>
  <si>
    <t xml:space="preserve">U Minnesota EA II</t>
  </si>
  <si>
    <t xml:space="preserve">Non-binding; apply early for scholarships/housing.</t>
  </si>
  <si>
    <t xml:space="preserve">Mid-Dec 2026</t>
  </si>
  <si>
    <t xml:space="preserve">Early decisions released</t>
  </si>
  <si>
    <t xml:space="preserve">MIT, UChicago, UPenn, Columbia, Swarthmore, Vassar, Wesleyan</t>
  </si>
  <si>
    <t xml:space="preserve">Admitted to a BINDING ED → enroll &amp; withdraw the rest.</t>
  </si>
  <si>
    <t xml:space="preserve">Jan 1, 2027</t>
  </si>
  <si>
    <t xml:space="preserve">RD / ED II cluster</t>
  </si>
  <si>
    <t xml:space="preserve">Columbia RD · Wesleyan ED II/RD · U Minnesota RD</t>
  </si>
  <si>
    <t xml:space="preserve">Jan 2, 2027</t>
  </si>
  <si>
    <t xml:space="preserve">RD</t>
  </si>
  <si>
    <t xml:space="preserve">Yale RD</t>
  </si>
  <si>
    <t xml:space="preserve">Jan 4–5, 2027</t>
  </si>
  <si>
    <t xml:space="preserve">MIT RA (Jan 4) · UChicago RD · Swarthmore ED II/RD (Jan 4) · Vassar RD · UPenn RD (Jan 5)</t>
  </si>
  <si>
    <t xml:space="preserve">Confirm exact dates per school.</t>
  </si>
  <si>
    <t xml:space="preserve">~Jan 14, 2027</t>
  </si>
  <si>
    <t xml:space="preserve">Vassar ED II</t>
  </si>
  <si>
    <t xml:space="preserve">Confirm on Vassar's site.</t>
  </si>
  <si>
    <t xml:space="preserve">Jan 15, 2027</t>
  </si>
  <si>
    <t xml:space="preserve">RIT RD</t>
  </si>
  <si>
    <t xml:space="preserve">~Jan 31, 2027</t>
  </si>
  <si>
    <t xml:space="preserve">Early Action I decisions</t>
  </si>
  <si>
    <t xml:space="preserve">U Minnesota (EA I)</t>
  </si>
  <si>
    <t xml:space="preserve">Rolling thereafter.</t>
  </si>
  <si>
    <t xml:space="preserve">~Feb 15, 2027</t>
  </si>
  <si>
    <t xml:space="preserve">Regular-round aid; MIT Feb Updates</t>
  </si>
  <si>
    <t xml:space="preserve">MIT (Feb Updates + midyear) · CSS/FAFSA priority</t>
  </si>
  <si>
    <t xml:space="preserve">Counselor sends midyear reports to all.</t>
  </si>
  <si>
    <t xml:space="preserve">Mar–Apr 2027</t>
  </si>
  <si>
    <t xml:space="preserve">Regular decisions released</t>
  </si>
  <si>
    <t xml:space="preserve">All 10</t>
  </si>
  <si>
    <t xml:space="preserve">MIT mid-Mar · Yale by Apr 1 · others late Mar–early Apr.</t>
  </si>
  <si>
    <t xml:space="preserve">May 1, 2027</t>
  </si>
  <si>
    <t xml:space="preserve">Enrollment deposit due</t>
  </si>
  <si>
    <t xml:space="preserve">Wherever admitted</t>
  </si>
  <si>
    <t xml:space="preserve">Compare offers &amp; aid, then commit.</t>
  </si>
  <si>
    <t xml:space="preserve">Prioritized Task List — shortlist of 10 · do these in order</t>
  </si>
  <si>
    <t xml:space="preserve">Tasks complete:</t>
  </si>
  <si>
    <t xml:space="preserve">#</t>
  </si>
  <si>
    <t xml:space="preserve">Task</t>
  </si>
  <si>
    <t xml:space="preserve">School(s)</t>
  </si>
  <si>
    <t xml:space="preserve">Category</t>
  </si>
  <si>
    <t xml:space="preserve">Target window</t>
  </si>
  <si>
    <t xml:space="preserve">Hard deadline</t>
  </si>
  <si>
    <t xml:space="preserve">Status</t>
  </si>
  <si>
    <t xml:space="preserve">Decide the EARLY LANE (this gates everything). With this shortlist only Yale is restrictive — see Strategy tab.</t>
  </si>
  <si>
    <t xml:space="preserve">All</t>
  </si>
  <si>
    <t xml:space="preserve">Strategy</t>
  </si>
  <si>
    <t xml:space="preserve">Now–Aug 15</t>
  </si>
  <si>
    <t xml:space="preserve">Before writing early essays</t>
  </si>
  <si>
    <t xml:space="preserve">Not started</t>
  </si>
  <si>
    <t xml:space="preserve">Confirm test scores ready to send; decide whether to retake SAT (1590 already) — recommend NOT.</t>
  </si>
  <si>
    <t xml:space="preserve">July</t>
  </si>
  <si>
    <t xml:space="preserve">Aug SAT reg ~Aug 7 if retaking</t>
  </si>
  <si>
    <t xml:space="preserve">If UChicago is a top choice: prepare &amp; submit the SSEN (ED0) app (Sept 1–Oct 15). Reuse Summer Session teacher recs; counselor letter waivable. Binding, but you hear BEFORE Nov 1.</t>
  </si>
  <si>
    <t xml:space="preserve">UChicago</t>
  </si>
  <si>
    <t xml:space="preserve">Sept 1–Oct 15</t>
  </si>
  <si>
    <t xml:space="preserve">Oct 15, 2026</t>
  </si>
  <si>
    <t xml:space="preserve">Line up recommenders: counselor + 1 math/science + 1 humanities/language teacher (covers MIT's split &amp; every 2-rec school on the list).</t>
  </si>
  <si>
    <t xml:space="preserve">Recs</t>
  </si>
  <si>
    <t xml:space="preserve">Aug–early Sept</t>
  </si>
  <si>
    <t xml:space="preserve">Well before Nov 1</t>
  </si>
  <si>
    <t xml:space="preserve">Finalize the Common App personal statement (650w) — draft already underway.</t>
  </si>
  <si>
    <t xml:space="preserve">Most</t>
  </si>
  <si>
    <t xml:space="preserve">Essays</t>
  </si>
  <si>
    <t xml:space="preserve">August</t>
  </si>
  <si>
    <t xml:space="preserve">Before early deadline</t>
  </si>
  <si>
    <t xml:space="preserve">Create accounts: Common App, MIT portal, RIT (or Common App), U Minnesota (Common App or Golden Gopher).</t>
  </si>
  <si>
    <t xml:space="preserve">Setup</t>
  </si>
  <si>
    <t xml:space="preserve">Early Sept</t>
  </si>
  <si>
    <t xml:space="preserve">Complete Common App core (profile, activities, honors).</t>
  </si>
  <si>
    <t xml:space="preserve">Common App schools</t>
  </si>
  <si>
    <t xml:space="preserve">Application</t>
  </si>
  <si>
    <t xml:space="preserve">September</t>
  </si>
  <si>
    <t xml:space="preserve">Write MIT's 4 main essays + 4 short responses (separate system).</t>
  </si>
  <si>
    <t xml:space="preserve">Sept</t>
  </si>
  <si>
    <t xml:space="preserve">Nov 1 if EA</t>
  </si>
  <si>
    <t xml:space="preserve">Draft the early-round supplements first: UChicago (Why + Extended), UPenn (thank-you + community + school), Columbia (list + 5 shorts).</t>
  </si>
  <si>
    <t xml:space="preserve">UChicago, UPenn, Columbia</t>
  </si>
  <si>
    <t xml:space="preserve">Sept–Oct</t>
  </si>
  <si>
    <t xml:space="preserve">Nov 1</t>
  </si>
  <si>
    <t xml:space="preserve">Draft Swarthmore (2), Vassar (1), Wesleyan (creative optional), RIT (1), U Minnesota (1 short) essays.</t>
  </si>
  <si>
    <t xml:space="preserve">Swat, Vassar, Wesleyan, RIT, UMN</t>
  </si>
  <si>
    <t xml:space="preserve">Nov 1 / Nov 15</t>
  </si>
  <si>
    <t xml:space="preserve">Give recommenders a resume/brag sheet; confirm Nov 1 submission.</t>
  </si>
  <si>
    <t xml:space="preserve">2-rec schools</t>
  </si>
  <si>
    <t xml:space="preserve">Complete FAFSA (2027–28) at open (~Oct 1).</t>
  </si>
  <si>
    <t xml:space="preserve">Financial aid</t>
  </si>
  <si>
    <t xml:space="preserve">October</t>
  </si>
  <si>
    <t xml:space="preserve">Early: Nov 1–15</t>
  </si>
  <si>
    <t xml:space="preserve">Complete CSS Profile (Yale, MIT, UPenn, Columbia, Swarthmore, Vassar, Wesleyan, RIT). UChicago = own worksheet; U Minnesota = FAFSA only.</t>
  </si>
  <si>
    <t xml:space="preserve">Privates</t>
  </si>
  <si>
    <t xml:space="preserve">Early priority</t>
  </si>
  <si>
    <t xml:space="preserve">Confirm counselor sends School Report + transcript where required (not needed for U Minnesota).</t>
  </si>
  <si>
    <t xml:space="preserve">Finalize &amp; proofread ALL early-round essays.</t>
  </si>
  <si>
    <t xml:space="preserve">Per lane</t>
  </si>
  <si>
    <t xml:space="preserve">Mid–late Oct</t>
  </si>
  <si>
    <t xml:space="preserve">SUBMIT Nov 1: your early lane + MIT EA / UChicago (per lane) + Columbia/UPenn (if ED) + RIT (ED I/EA) + U Minnesota EA I.</t>
  </si>
  <si>
    <t xml:space="preserve">Nov 1 schools</t>
  </si>
  <si>
    <t xml:space="preserve">Submit</t>
  </si>
  <si>
    <t xml:space="preserve">By Nov 1</t>
  </si>
  <si>
    <t xml:space="preserve">SUBMIT Nov 15: Swarthmore ED I / Vassar ED I / Wesleyan ED I (if applying early).</t>
  </si>
  <si>
    <t xml:space="preserve">Nov 15 schools</t>
  </si>
  <si>
    <t xml:space="preserve">By Nov 15</t>
  </si>
  <si>
    <t xml:space="preserve">Submit U Minnesota EA II if not already done.</t>
  </si>
  <si>
    <t xml:space="preserve">U Minnesota</t>
  </si>
  <si>
    <t xml:space="preserve">Late Nov</t>
  </si>
  <si>
    <t xml:space="preserve">Verify all components received (recs, reports, scores) in each portal.</t>
  </si>
  <si>
    <t xml:space="preserve">Nov–Dec</t>
  </si>
  <si>
    <t xml:space="preserve">Mid-Dec: review early results. If admitted to a binding ED, enroll &amp; withdraw the rest; otherwise push remaining schools to RD.</t>
  </si>
  <si>
    <t xml:space="preserve">Decision</t>
  </si>
  <si>
    <t xml:space="preserve">Mid-Dec</t>
  </si>
  <si>
    <t xml:space="preserve">Finalize &amp; submit Jan apps: Yale (Jan 2), MIT RA (Jan 4), UChicago RD, Columbia RD (Jan 1), UPenn RD (Jan 5), Swarthmore RD (Jan 4), Vassar RD, Wesleyan RD (Jan 1), U Minnesota RD (Jan 1).</t>
  </si>
  <si>
    <t xml:space="preserve">Jan cluster</t>
  </si>
  <si>
    <t xml:space="preserve">Late Dec</t>
  </si>
  <si>
    <t xml:space="preserve">Jan 1–5, 2027</t>
  </si>
  <si>
    <t xml:space="preserve">Submit RIT RD (Jan 15) if not applied early.</t>
  </si>
  <si>
    <t xml:space="preserve">Early Jan</t>
  </si>
  <si>
    <t xml:space="preserve">Submit MIT 'February Updates &amp; Notes' form + midyear; confirm counselor sends midyear reports to all.</t>
  </si>
  <si>
    <t xml:space="preserve">MIT + all</t>
  </si>
  <si>
    <t xml:space="preserve">Follow-up</t>
  </si>
  <si>
    <t xml:space="preserve">Mid-Feb</t>
  </si>
  <si>
    <t xml:space="preserve">Mid-Feb 2027</t>
  </si>
  <si>
    <t xml:space="preserve">Complete regular-round financial aid (CSS/FAFSA) — due ~Feb 15.</t>
  </si>
  <si>
    <t xml:space="preserve">February</t>
  </si>
  <si>
    <t xml:space="preserve">~Feb 15</t>
  </si>
  <si>
    <t xml:space="preserve">Review all decisions (Mar–Apr); compare offers &amp; aid; submit deposit.</t>
  </si>
  <si>
    <t xml:space="preserve">Mar–Apr</t>
  </si>
  <si>
    <t xml:space="preserve">Strategy &amp; Key Flags — working shortlist of 10</t>
  </si>
  <si>
    <t xml:space="preserve">Shortlist: Ambitious — MIT, Yale, UChicago.  Match — UPenn, Columbia, Swarthmore.  High confidence — Vassar, RIT, Wesleyan, University of Minnesota.  (All 21 stay in the Application Tracker for reference.)</t>
  </si>
  <si>
    <t xml:space="preserve">1. Pick your EARLY LANE first — it's the decision everything hangs on</t>
  </si>
  <si>
    <t xml:space="preserve">On this shortlist, only ONE school has a restrictive early plan: Yale (SCEA). The rest of the early options are binding EDs or non-binding EAs. So Toby chooses one of three lanes:</t>
  </si>
  <si>
    <t xml:space="preserve">   Lane A — Yale SCEA (restrictive). Rules out EVERY other private early plan: no MIT EA, no UChicago EA, and no ED (UPenn, Columbia, Swarthmore, Vassar, Wesleyan, RIT). Everything else goes Regular. U Minnesota EA (public) is still allowed.</t>
  </si>
  <si>
    <t xml:space="preserve">   Lane B — One binding ED at a single favourite (UChicago via SSEN or ED I, UPenn, Columbia, Swarthmore, Vassar, Wesleyan, or RIT). You may STILL add non-binding MIT EA + UChicago EA + U Minnesota EA. If the ED admits you, you withdraw the rest.</t>
  </si>
  <si>
    <t xml:space="preserve">   Lane C — All non-binding: MIT EA + UChicago EA + RIT EA + U Minnesota EA. No SCEA, no ED. Keeps every option open.</t>
  </si>
  <si>
    <t xml:space="preserve">Key tension: going Yale-early (Lane A) means NO early MIT and NO early UChicago — two of Toby's three Ambitious schools. If MIT and UChicago early matter more than Yale early, Lane B or C is the stronger play.</t>
  </si>
  <si>
    <t xml:space="preserve">1a. Toby's special option: UChicago SSEN (ED0) — resolves BEFORE Nov 1</t>
  </si>
  <si>
    <t xml:space="preserve">Because Toby completes UChicago's Intensive Japanese pre-college program this summer, he's eligible for Summer Student Early Notification (SSEN / ED0): apply Sept 1–Oct 15 and hear back before Nov 1 — before any other early app. Lighter-weight, too: reuse the Summer Session teacher recs, and UChicago will review without a counselor letter if one isn't ready.</t>
  </si>
  <si>
    <t xml:space="preserve">   Upside — If UChicago is his #1, this is the strongest form of Lane B: an early, binding answer with less paperwork and a calmer fall. If admitted, he enrolls and withdraws the rest.</t>
  </si>
  <si>
    <t xml:space="preserve">   Catch — SSEN is a BINDING private ED, so it rules out Yale's SCEA. If deferred, he's released and can still pivot to MIT EA (non-restrictive) and Regular Decision everywhere — just not Yale-early. Confirm edge cases with his counselor.</t>
  </si>
  <si>
    <t xml:space="preserve">2. Binding vs. non-binding — the quick key (this shortlist)</t>
  </si>
  <si>
    <t xml:space="preserve">BINDING (enroll if admitted; only ONE allowed): UChicago ED I/II (and SSEN), UPenn, Columbia, Swarthmore, Vassar, Wesleyan, RIT.</t>
  </si>
  <si>
    <t xml:space="preserve">NON-BINDING: MIT EA, UChicago EA, Yale SCEA (restrictive but non-binding), RIT EA, University of Minnesota EA I/II, and all Regular Decision.</t>
  </si>
  <si>
    <t xml:space="preserve">3. Testing — Toby is covered</t>
  </si>
  <si>
    <t xml:space="preserve">On this shortlist, SAT/ACT are REQUIRED at MIT, Yale, and UPenn. Everyone else is test-optional this cycle (Columbia optional now but required next year). Submit his 1590 SAT / 38 ACT everywhere — required at three, and helpful at the rest.</t>
  </si>
  <si>
    <t xml:space="preserve">4. Recommenders — one set covers the list</t>
  </si>
  <si>
    <t xml:space="preserve">Counselor + one math/science teacher + one humanities/language teacher satisfies MIT's split and every 2-teacher school (Yale, UChicago, UPenn, Columbia, Swarthmore, Vassar, Wesleyan). RIT needs just one; University of Minnesota needs none.</t>
  </si>
  <si>
    <t xml:space="preserve">5. Distinctive requirements not to miss</t>
  </si>
  <si>
    <t xml:space="preserve">• MIT: separate application system + a 'February Updates &amp; Notes' form for midyear grades.
• UChicago: no CSS Profile (FAFSA + its own worksheet); SSEN option above.
• UPenn: you apply to one of four schools (A&amp;S, Wharton, Engineering, Nursing), each with its own essay.
• Columbia: the list question + five short essays; a 'Why major' that differs for Columbia College vs. Engineering.
• University of Minnesota: apply via Common App OR the Golden Gopher app; no recommendations; one short 'which college/major' essay; self-reported grades.
• RIT: ED I/II are binding; if submitting the ACT with a STEM focus, add the optional Science section.</t>
  </si>
  <si>
    <t xml:space="preserve">6. Yield protection — worth a note</t>
  </si>
  <si>
    <t xml:space="preserve">The selective LACs on this list — Swarthmore, Vassar, and Wesleyan — sometimes waitlist an obviously elite-bound 1590 applicant they doubt will enrol. Demonstrated interest (a visit, a specific 'why us') matters most exactly there.</t>
  </si>
  <si>
    <t xml:space="preserve">Sources: official MIT, Yale, UChicago, UPenn, Columbia, Swarthmore, Vassar, Wesleyan, RIT, and University of Minnesota admissions &amp; financial-aid pages. This is a working subset chosen for planning — all 21 researched schools remain in the Application Tracker. Confirm any date marked * once 2026–27 dates post.</t>
  </si>
  <si>
    <t xml:space="preserve">Decision Model — early-lane strategy: editable utilities &amp; likelihoods → EV / PV</t>
  </si>
  <si>
    <t xml:space="preserve">Edit only the YELLOW cells (utilities 0–100 and admission probabilities 0–1). EV and PV recompute automatically. Higher is better. Keep utilities distinct and probabilities ≤ 0.98.</t>
  </si>
  <si>
    <t xml:space="preserve">Quick read</t>
  </si>
  <si>
    <t xml:space="preserve">• If UChicago is Toby's clear #1  →  SSEN (Strategy B): earliest, lightest, binding — and a deferral still leaves MIT EA + everything Regular.</t>
  </si>
  <si>
    <t xml:space="preserve">• If Yale is the clear #1  →  Yale SCEA (Strategy A): but this forecloses early MIT and early UChicago.</t>
  </si>
  <si>
    <t xml:space="preserve">• If keeping options open &amp; comparing aid matters most  →  All non-binding EA (Strategy C).</t>
  </si>
  <si>
    <t xml:space="preserve">• A binding ED elsewhere (D / E) trades upside for certainty — the model prices that out.</t>
  </si>
  <si>
    <t xml:space="preserve">• Before ANY binding choice, run the school's Net Price Calculator so you're not committing blind on aid.</t>
  </si>
  <si>
    <t xml:space="preserve">RESULTS — each early-lane strategy (edit inputs below; everything recomputes)</t>
  </si>
  <si>
    <t xml:space="preserve">What it means</t>
  </si>
  <si>
    <t xml:space="preserve">EV (0–100)</t>
  </si>
  <si>
    <t xml:space="preserve">PV (net)</t>
  </si>
  <si>
    <t xml:space="preserve">Best?</t>
  </si>
  <si>
    <t xml:space="preserve">A — Yale SCEA (restrictive EA)</t>
  </si>
  <si>
    <t xml:space="preserve">Yale early, non-binding. Rules out early MIT &amp; UChicago; everything else Regular.</t>
  </si>
  <si>
    <t xml:space="preserve">B — UChicago SSEN (ED0)</t>
  </si>
  <si>
    <t xml:space="preserve">Binding, resolves before Nov 1. A deferral still leaves MIT EA + all Regular.</t>
  </si>
  <si>
    <t xml:space="preserve">C — All non-binding EA</t>
  </si>
  <si>
    <t xml:space="preserve">MIT EA + UChicago EA + Minnesota EA; everything else Regular. Preserves aid comparison.</t>
  </si>
  <si>
    <t xml:space="preserve">D — UPenn ED (a reach ED)</t>
  </si>
  <si>
    <t xml:space="preserve">Binding Penn ED at Nov 1. If denied, no MIT EA left — all Regular.</t>
  </si>
  <si>
    <t xml:space="preserve">E — Vassar ED (lock a likely)</t>
  </si>
  <si>
    <t xml:space="preserve">Binding Vassar ED. High certainty, but commits away the reaches.</t>
  </si>
  <si>
    <t xml:space="preserve">EV = expected value of where Toby enrolls (utility of his best admit, probability-weighted).  PV = EV + certainty/less-work bonus when the early round resolves − aid-comparison penalty when he's bound before seeing aid.</t>
  </si>
  <si>
    <t xml:space="preserve">INPUTS — edit the yellow cells (utilities &amp; probabilities)</t>
  </si>
  <si>
    <t xml:space="preserve">Utility 0–100</t>
  </si>
  <si>
    <t xml:space="preserve">P(admit) early</t>
  </si>
  <si>
    <t xml:space="preserve">P(admit) Regular</t>
  </si>
  <si>
    <t xml:space="preserve">What "early" means here</t>
  </si>
  <si>
    <t xml:space="preserve">EA (non-binding)</t>
  </si>
  <si>
    <t xml:space="preserve">SCEA (restrictive, non-binding)</t>
  </si>
  <si>
    <t xml:space="preserve">EA / ED I  (SSEN handled below)</t>
  </si>
  <si>
    <t xml:space="preserve">ED (binding)</t>
  </si>
  <si>
    <t xml:space="preserve">EA / ED (EA non-binding)</t>
  </si>
  <si>
    <t xml:space="preserve">EA (non-binding public)</t>
  </si>
  <si>
    <t xml:space="preserve">UChicago SSEN (ED0) admit probability</t>
  </si>
  <si>
    <t xml:space="preserve">Certainty / less-work bonus (utility pts)</t>
  </si>
  <si>
    <t xml:space="preserve">Aid-comparison penalty if bound (utility pts)</t>
  </si>
  <si>
    <t xml:space="preserve">COMPUTATION ENGINE (safe to ignore — this is what feeds the results)</t>
  </si>
  <si>
    <t xml:space="preserve">U</t>
  </si>
  <si>
    <t xml:space="preserve">A: p</t>
  </si>
  <si>
    <t xml:space="preserve">A: enroll</t>
  </si>
  <si>
    <t xml:space="preserve">C: p</t>
  </si>
  <si>
    <t xml:space="preserve">C: enroll</t>
  </si>
  <si>
    <t xml:space="preserve">B-fb: p</t>
  </si>
  <si>
    <t xml:space="preserve">B-fb: enroll</t>
  </si>
  <si>
    <t xml:space="preserve">RD: p</t>
  </si>
  <si>
    <t xml:space="preserve">RD: enroll</t>
  </si>
  <si>
    <t xml:space="preserve">Best-admit EV of each vector →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</si>
</sst>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"/>
    <numFmt numFmtId="168" formatCode="0.0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38761D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9C4A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8761D"/>
      <name val="Arial"/>
      <family val="0"/>
      <charset val="1"/>
    </font>
    <font>
      <b val="true"/>
      <sz val="9"/>
      <color rgb="FF80808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B6D7A8"/>
        <bgColor rgb="FFBFBFBF"/>
      </patternFill>
    </fill>
    <fill>
      <patternFill patternType="solid">
        <fgColor rgb="FFF4CCCC"/>
        <bgColor rgb="FFF9D9A0"/>
      </patternFill>
    </fill>
    <fill>
      <patternFill patternType="solid">
        <fgColor rgb="FFD9EAD3"/>
        <bgColor rgb="FFC6EFCE"/>
      </patternFill>
    </fill>
    <fill>
      <patternFill patternType="solid">
        <fgColor rgb="FFFCE4B8"/>
        <bgColor rgb="FFF9D9A0"/>
      </patternFill>
    </fill>
    <fill>
      <patternFill patternType="solid">
        <fgColor rgb="FFC6EFCE"/>
        <bgColor rgb="FFD9EAD3"/>
      </patternFill>
    </fill>
    <fill>
      <patternFill patternType="solid">
        <fgColor rgb="FFD6E0F0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EAF0FA"/>
        <bgColor rgb="FFF2F2F2"/>
      </patternFill>
    </fill>
    <fill>
      <patternFill patternType="solid">
        <fgColor rgb="FFF9D9A0"/>
        <bgColor rgb="FFFCE4B8"/>
      </patternFill>
    </fill>
    <fill>
      <patternFill patternType="solid">
        <fgColor rgb="FFF2F2F2"/>
        <bgColor rgb="FFEAF0FA"/>
      </patternFill>
    </fill>
    <fill>
      <patternFill patternType="solid">
        <fgColor rgb="FFFFF2CC"/>
        <bgColor rgb="FFFCE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CE4B8"/>
      <rgbColor rgb="FFB6D7A8"/>
      <rgbColor rgb="FFF4CCCC"/>
      <rgbColor rgb="FFF2F2F2"/>
      <rgbColor rgb="FFF9D9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4A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3" min="13" style="0" width="9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69.75" hidden="false" customHeight="true" outlineLevel="0" collapsed="false">
      <c r="A3" s="4" t="s">
        <v>15</v>
      </c>
      <c r="B3" s="5" t="s">
        <v>16</v>
      </c>
      <c r="C3" s="6" t="s">
        <v>17</v>
      </c>
      <c r="D3" s="7" t="s">
        <v>18</v>
      </c>
      <c r="E3" s="8" t="s">
        <v>19</v>
      </c>
      <c r="F3" s="8" t="s">
        <v>19</v>
      </c>
      <c r="G3" s="8" t="s">
        <v>20</v>
      </c>
      <c r="H3" s="8" t="s">
        <v>19</v>
      </c>
      <c r="I3" s="8" t="s">
        <v>21</v>
      </c>
      <c r="J3" s="9" t="s">
        <v>22</v>
      </c>
      <c r="K3" s="7" t="s">
        <v>23</v>
      </c>
      <c r="L3" s="7" t="s">
        <v>24</v>
      </c>
      <c r="M3" s="8" t="s">
        <v>25</v>
      </c>
      <c r="N3" s="7" t="s">
        <v>26</v>
      </c>
    </row>
    <row r="4" customFormat="false" ht="69.75" hidden="false" customHeight="true" outlineLevel="0" collapsed="false">
      <c r="A4" s="4" t="s">
        <v>27</v>
      </c>
      <c r="B4" s="5" t="s">
        <v>16</v>
      </c>
      <c r="C4" s="6" t="s">
        <v>17</v>
      </c>
      <c r="D4" s="7" t="s">
        <v>28</v>
      </c>
      <c r="E4" s="8" t="s">
        <v>19</v>
      </c>
      <c r="F4" s="8" t="s">
        <v>29</v>
      </c>
      <c r="G4" s="8" t="s">
        <v>19</v>
      </c>
      <c r="H4" s="8" t="s">
        <v>19</v>
      </c>
      <c r="I4" s="8" t="s">
        <v>30</v>
      </c>
      <c r="J4" s="9" t="s">
        <v>31</v>
      </c>
      <c r="K4" s="7" t="s">
        <v>32</v>
      </c>
      <c r="L4" s="7" t="s">
        <v>33</v>
      </c>
      <c r="M4" s="8" t="s">
        <v>34</v>
      </c>
      <c r="N4" s="7" t="s">
        <v>35</v>
      </c>
    </row>
    <row r="5" customFormat="false" ht="111.75" hidden="false" customHeight="true" outlineLevel="0" collapsed="false">
      <c r="A5" s="4" t="s">
        <v>36</v>
      </c>
      <c r="B5" s="5" t="s">
        <v>16</v>
      </c>
      <c r="C5" s="6" t="s">
        <v>17</v>
      </c>
      <c r="D5" s="7" t="s">
        <v>28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  <c r="J5" s="10" t="s">
        <v>42</v>
      </c>
      <c r="K5" s="7" t="s">
        <v>43</v>
      </c>
      <c r="L5" s="7" t="s">
        <v>44</v>
      </c>
      <c r="M5" s="8" t="s">
        <v>25</v>
      </c>
      <c r="N5" s="7" t="s">
        <v>45</v>
      </c>
    </row>
    <row r="6" customFormat="false" ht="45.75" hidden="false" customHeight="true" outlineLevel="0" collapsed="false">
      <c r="A6" s="11" t="s">
        <v>46</v>
      </c>
      <c r="B6" s="9" t="s">
        <v>47</v>
      </c>
      <c r="C6" s="12"/>
      <c r="D6" s="13" t="s">
        <v>48</v>
      </c>
      <c r="E6" s="14" t="s">
        <v>19</v>
      </c>
      <c r="F6" s="14" t="s">
        <v>49</v>
      </c>
      <c r="G6" s="14" t="s">
        <v>19</v>
      </c>
      <c r="H6" s="14" t="s">
        <v>19</v>
      </c>
      <c r="I6" s="14" t="s">
        <v>50</v>
      </c>
      <c r="J6" s="9" t="s">
        <v>22</v>
      </c>
      <c r="K6" s="13" t="s">
        <v>32</v>
      </c>
      <c r="L6" s="13" t="s">
        <v>51</v>
      </c>
      <c r="M6" s="14" t="s">
        <v>34</v>
      </c>
      <c r="N6" s="13" t="s">
        <v>52</v>
      </c>
    </row>
    <row r="7" customFormat="false" ht="55.5" hidden="false" customHeight="true" outlineLevel="0" collapsed="false">
      <c r="A7" s="4" t="s">
        <v>53</v>
      </c>
      <c r="B7" s="9" t="s">
        <v>47</v>
      </c>
      <c r="C7" s="6" t="s">
        <v>17</v>
      </c>
      <c r="D7" s="7" t="s">
        <v>28</v>
      </c>
      <c r="E7" s="8" t="s">
        <v>19</v>
      </c>
      <c r="F7" s="8" t="s">
        <v>49</v>
      </c>
      <c r="G7" s="8" t="s">
        <v>19</v>
      </c>
      <c r="H7" s="8" t="s">
        <v>19</v>
      </c>
      <c r="I7" s="8" t="s">
        <v>54</v>
      </c>
      <c r="J7" s="10" t="s">
        <v>55</v>
      </c>
      <c r="K7" s="7" t="s">
        <v>32</v>
      </c>
      <c r="L7" s="7" t="s">
        <v>56</v>
      </c>
      <c r="M7" s="8" t="s">
        <v>57</v>
      </c>
      <c r="N7" s="7" t="s">
        <v>58</v>
      </c>
    </row>
    <row r="8" customFormat="false" ht="45.75" hidden="false" customHeight="true" outlineLevel="0" collapsed="false">
      <c r="A8" s="11" t="s">
        <v>59</v>
      </c>
      <c r="B8" s="9" t="s">
        <v>47</v>
      </c>
      <c r="C8" s="12"/>
      <c r="D8" s="13" t="s">
        <v>60</v>
      </c>
      <c r="E8" s="14" t="s">
        <v>19</v>
      </c>
      <c r="F8" s="14" t="s">
        <v>49</v>
      </c>
      <c r="G8" s="14" t="s">
        <v>19</v>
      </c>
      <c r="H8" s="14" t="s">
        <v>19</v>
      </c>
      <c r="I8" s="14" t="s">
        <v>61</v>
      </c>
      <c r="J8" s="9" t="s">
        <v>22</v>
      </c>
      <c r="K8" s="13" t="s">
        <v>32</v>
      </c>
      <c r="L8" s="13" t="s">
        <v>62</v>
      </c>
      <c r="M8" s="14" t="s">
        <v>57</v>
      </c>
      <c r="N8" s="13" t="s">
        <v>63</v>
      </c>
    </row>
    <row r="9" customFormat="false" ht="55.5" hidden="false" customHeight="true" outlineLevel="0" collapsed="false">
      <c r="A9" s="11" t="s">
        <v>64</v>
      </c>
      <c r="B9" s="5" t="s">
        <v>16</v>
      </c>
      <c r="C9" s="15"/>
      <c r="D9" s="16" t="s">
        <v>60</v>
      </c>
      <c r="E9" s="17" t="s">
        <v>19</v>
      </c>
      <c r="F9" s="17" t="s">
        <v>19</v>
      </c>
      <c r="G9" s="17" t="s">
        <v>29</v>
      </c>
      <c r="H9" s="17" t="s">
        <v>19</v>
      </c>
      <c r="I9" s="17" t="s">
        <v>54</v>
      </c>
      <c r="J9" s="10" t="s">
        <v>55</v>
      </c>
      <c r="K9" s="16" t="s">
        <v>65</v>
      </c>
      <c r="L9" s="16" t="s">
        <v>66</v>
      </c>
      <c r="M9" s="17" t="s">
        <v>25</v>
      </c>
      <c r="N9" s="16" t="s">
        <v>67</v>
      </c>
    </row>
    <row r="10" customFormat="false" ht="55.5" hidden="false" customHeight="true" outlineLevel="0" collapsed="false">
      <c r="A10" s="4" t="s">
        <v>68</v>
      </c>
      <c r="B10" s="9" t="s">
        <v>47</v>
      </c>
      <c r="C10" s="6" t="s">
        <v>17</v>
      </c>
      <c r="D10" s="7" t="s">
        <v>28</v>
      </c>
      <c r="E10" s="8" t="s">
        <v>19</v>
      </c>
      <c r="F10" s="8" t="s">
        <v>49</v>
      </c>
      <c r="G10" s="8" t="s">
        <v>19</v>
      </c>
      <c r="H10" s="8" t="s">
        <v>19</v>
      </c>
      <c r="I10" s="8" t="s">
        <v>69</v>
      </c>
      <c r="J10" s="9" t="s">
        <v>22</v>
      </c>
      <c r="K10" s="7" t="s">
        <v>32</v>
      </c>
      <c r="L10" s="7" t="s">
        <v>70</v>
      </c>
      <c r="M10" s="8" t="s">
        <v>25</v>
      </c>
      <c r="N10" s="7" t="s">
        <v>71</v>
      </c>
    </row>
    <row r="11" customFormat="false" ht="45.75" hidden="false" customHeight="true" outlineLevel="0" collapsed="false">
      <c r="A11" s="11" t="s">
        <v>72</v>
      </c>
      <c r="B11" s="9" t="s">
        <v>47</v>
      </c>
      <c r="C11" s="15"/>
      <c r="D11" s="16" t="s">
        <v>28</v>
      </c>
      <c r="E11" s="17" t="s">
        <v>19</v>
      </c>
      <c r="F11" s="17" t="s">
        <v>73</v>
      </c>
      <c r="G11" s="17" t="s">
        <v>19</v>
      </c>
      <c r="H11" s="17" t="s">
        <v>19</v>
      </c>
      <c r="I11" s="17" t="s">
        <v>50</v>
      </c>
      <c r="J11" s="10" t="s">
        <v>42</v>
      </c>
      <c r="K11" s="16" t="s">
        <v>32</v>
      </c>
      <c r="L11" s="16" t="s">
        <v>74</v>
      </c>
      <c r="M11" s="17" t="s">
        <v>75</v>
      </c>
      <c r="N11" s="16" t="s">
        <v>76</v>
      </c>
    </row>
    <row r="12" customFormat="false" ht="45.75" hidden="false" customHeight="true" outlineLevel="0" collapsed="false">
      <c r="A12" s="4" t="s">
        <v>77</v>
      </c>
      <c r="B12" s="9" t="s">
        <v>47</v>
      </c>
      <c r="C12" s="6" t="s">
        <v>17</v>
      </c>
      <c r="D12" s="7" t="s">
        <v>28</v>
      </c>
      <c r="E12" s="8" t="s">
        <v>19</v>
      </c>
      <c r="F12" s="8" t="s">
        <v>78</v>
      </c>
      <c r="G12" s="8" t="s">
        <v>19</v>
      </c>
      <c r="H12" s="8" t="s">
        <v>79</v>
      </c>
      <c r="I12" s="8" t="s">
        <v>80</v>
      </c>
      <c r="J12" s="10" t="s">
        <v>42</v>
      </c>
      <c r="K12" s="7" t="s">
        <v>32</v>
      </c>
      <c r="L12" s="7" t="s">
        <v>81</v>
      </c>
      <c r="M12" s="8" t="s">
        <v>82</v>
      </c>
      <c r="N12" s="7" t="s">
        <v>83</v>
      </c>
    </row>
    <row r="13" customFormat="false" ht="45.75" hidden="false" customHeight="true" outlineLevel="0" collapsed="false">
      <c r="A13" s="4" t="s">
        <v>84</v>
      </c>
      <c r="B13" s="18" t="s">
        <v>85</v>
      </c>
      <c r="C13" s="6" t="s">
        <v>17</v>
      </c>
      <c r="D13" s="7" t="s">
        <v>28</v>
      </c>
      <c r="E13" s="8" t="s">
        <v>19</v>
      </c>
      <c r="F13" s="8" t="s">
        <v>86</v>
      </c>
      <c r="G13" s="8" t="s">
        <v>19</v>
      </c>
      <c r="H13" s="8" t="s">
        <v>87</v>
      </c>
      <c r="I13" s="8" t="s">
        <v>54</v>
      </c>
      <c r="J13" s="10" t="s">
        <v>42</v>
      </c>
      <c r="K13" s="7" t="s">
        <v>88</v>
      </c>
      <c r="L13" s="7" t="s">
        <v>89</v>
      </c>
      <c r="M13" s="8" t="s">
        <v>75</v>
      </c>
      <c r="N13" s="7" t="s">
        <v>83</v>
      </c>
    </row>
    <row r="14" customFormat="false" ht="45.75" hidden="false" customHeight="true" outlineLevel="0" collapsed="false">
      <c r="A14" s="4" t="s">
        <v>90</v>
      </c>
      <c r="B14" s="18" t="s">
        <v>85</v>
      </c>
      <c r="C14" s="6" t="s">
        <v>17</v>
      </c>
      <c r="D14" s="7" t="s">
        <v>28</v>
      </c>
      <c r="E14" s="8" t="s">
        <v>19</v>
      </c>
      <c r="F14" s="8" t="s">
        <v>78</v>
      </c>
      <c r="G14" s="8" t="s">
        <v>19</v>
      </c>
      <c r="H14" s="8" t="s">
        <v>91</v>
      </c>
      <c r="I14" s="8" t="s">
        <v>92</v>
      </c>
      <c r="J14" s="10" t="s">
        <v>42</v>
      </c>
      <c r="K14" s="7" t="s">
        <v>32</v>
      </c>
      <c r="L14" s="7" t="s">
        <v>93</v>
      </c>
      <c r="M14" s="8" t="s">
        <v>75</v>
      </c>
      <c r="N14" s="7" t="s">
        <v>94</v>
      </c>
    </row>
    <row r="15" customFormat="false" ht="45.75" hidden="false" customHeight="true" outlineLevel="0" collapsed="false">
      <c r="A15" s="11" t="s">
        <v>95</v>
      </c>
      <c r="B15" s="18" t="s">
        <v>85</v>
      </c>
      <c r="C15" s="15"/>
      <c r="D15" s="16" t="s">
        <v>28</v>
      </c>
      <c r="E15" s="17" t="s">
        <v>19</v>
      </c>
      <c r="F15" s="17" t="s">
        <v>96</v>
      </c>
      <c r="G15" s="17" t="s">
        <v>19</v>
      </c>
      <c r="H15" s="17" t="s">
        <v>97</v>
      </c>
      <c r="I15" s="17" t="s">
        <v>98</v>
      </c>
      <c r="J15" s="10" t="s">
        <v>42</v>
      </c>
      <c r="K15" s="16" t="s">
        <v>99</v>
      </c>
      <c r="L15" s="16" t="s">
        <v>100</v>
      </c>
      <c r="M15" s="17" t="s">
        <v>101</v>
      </c>
      <c r="N15" s="16" t="s">
        <v>102</v>
      </c>
    </row>
    <row r="16" customFormat="false" ht="45.75" hidden="false" customHeight="true" outlineLevel="0" collapsed="false">
      <c r="A16" s="11" t="s">
        <v>103</v>
      </c>
      <c r="B16" s="18" t="s">
        <v>85</v>
      </c>
      <c r="C16" s="12"/>
      <c r="D16" s="13" t="s">
        <v>60</v>
      </c>
      <c r="E16" s="14" t="s">
        <v>19</v>
      </c>
      <c r="F16" s="14" t="s">
        <v>78</v>
      </c>
      <c r="G16" s="14" t="s">
        <v>104</v>
      </c>
      <c r="H16" s="14" t="s">
        <v>105</v>
      </c>
      <c r="I16" s="14" t="s">
        <v>106</v>
      </c>
      <c r="J16" s="10" t="s">
        <v>42</v>
      </c>
      <c r="K16" s="13" t="s">
        <v>107</v>
      </c>
      <c r="L16" s="13" t="s">
        <v>100</v>
      </c>
      <c r="M16" s="14" t="s">
        <v>108</v>
      </c>
      <c r="N16" s="13" t="s">
        <v>109</v>
      </c>
    </row>
    <row r="17" customFormat="false" ht="45.75" hidden="false" customHeight="true" outlineLevel="0" collapsed="false">
      <c r="A17" s="11" t="s">
        <v>110</v>
      </c>
      <c r="B17" s="9" t="s">
        <v>47</v>
      </c>
      <c r="C17" s="15"/>
      <c r="D17" s="16" t="s">
        <v>28</v>
      </c>
      <c r="E17" s="17" t="s">
        <v>19</v>
      </c>
      <c r="F17" s="17" t="s">
        <v>111</v>
      </c>
      <c r="G17" s="17" t="s">
        <v>19</v>
      </c>
      <c r="H17" s="17" t="s">
        <v>112</v>
      </c>
      <c r="I17" s="17" t="s">
        <v>113</v>
      </c>
      <c r="J17" s="10" t="s">
        <v>114</v>
      </c>
      <c r="K17" s="16" t="s">
        <v>115</v>
      </c>
      <c r="L17" s="16" t="s">
        <v>116</v>
      </c>
      <c r="M17" s="17" t="s">
        <v>25</v>
      </c>
      <c r="N17" s="16" t="s">
        <v>117</v>
      </c>
    </row>
    <row r="18" customFormat="false" ht="45.75" hidden="false" customHeight="true" outlineLevel="0" collapsed="false">
      <c r="A18" s="11" t="s">
        <v>118</v>
      </c>
      <c r="B18" s="9" t="s">
        <v>47</v>
      </c>
      <c r="C18" s="12"/>
      <c r="D18" s="13" t="s">
        <v>60</v>
      </c>
      <c r="E18" s="14" t="s">
        <v>19</v>
      </c>
      <c r="F18" s="14" t="s">
        <v>119</v>
      </c>
      <c r="G18" s="14" t="s">
        <v>19</v>
      </c>
      <c r="H18" s="14" t="s">
        <v>120</v>
      </c>
      <c r="I18" s="14" t="s">
        <v>121</v>
      </c>
      <c r="J18" s="10" t="s">
        <v>122</v>
      </c>
      <c r="K18" s="13" t="s">
        <v>123</v>
      </c>
      <c r="L18" s="13" t="s">
        <v>124</v>
      </c>
      <c r="M18" s="14" t="s">
        <v>34</v>
      </c>
      <c r="N18" s="13" t="s">
        <v>125</v>
      </c>
    </row>
    <row r="19" customFormat="false" ht="55.5" hidden="false" customHeight="true" outlineLevel="0" collapsed="false">
      <c r="A19" s="11" t="s">
        <v>126</v>
      </c>
      <c r="B19" s="18" t="s">
        <v>85</v>
      </c>
      <c r="C19" s="15"/>
      <c r="D19" s="16" t="s">
        <v>127</v>
      </c>
      <c r="E19" s="17" t="s">
        <v>19</v>
      </c>
      <c r="F19" s="17" t="s">
        <v>19</v>
      </c>
      <c r="G19" s="17" t="s">
        <v>19</v>
      </c>
      <c r="H19" s="17" t="s">
        <v>19</v>
      </c>
      <c r="I19" s="17" t="s">
        <v>128</v>
      </c>
      <c r="J19" s="10" t="s">
        <v>42</v>
      </c>
      <c r="K19" s="16" t="s">
        <v>129</v>
      </c>
      <c r="L19" s="16" t="s">
        <v>130</v>
      </c>
      <c r="M19" s="17" t="s">
        <v>34</v>
      </c>
      <c r="N19" s="16" t="s">
        <v>131</v>
      </c>
    </row>
    <row r="20" customFormat="false" ht="45.75" hidden="false" customHeight="true" outlineLevel="0" collapsed="false">
      <c r="A20" s="4" t="s">
        <v>132</v>
      </c>
      <c r="B20" s="18" t="s">
        <v>85</v>
      </c>
      <c r="C20" s="6" t="s">
        <v>17</v>
      </c>
      <c r="D20" s="7" t="s">
        <v>133</v>
      </c>
      <c r="E20" s="8" t="s">
        <v>19</v>
      </c>
      <c r="F20" s="8" t="s">
        <v>134</v>
      </c>
      <c r="G20" s="8" t="s">
        <v>135</v>
      </c>
      <c r="H20" s="8" t="s">
        <v>136</v>
      </c>
      <c r="I20" s="8" t="s">
        <v>106</v>
      </c>
      <c r="J20" s="10" t="s">
        <v>42</v>
      </c>
      <c r="K20" s="7" t="s">
        <v>137</v>
      </c>
      <c r="L20" s="7" t="s">
        <v>138</v>
      </c>
      <c r="M20" s="8" t="s">
        <v>75</v>
      </c>
      <c r="N20" s="7" t="s">
        <v>139</v>
      </c>
    </row>
    <row r="21" customFormat="false" ht="45.75" hidden="false" customHeight="true" outlineLevel="0" collapsed="false">
      <c r="A21" s="11" t="s">
        <v>140</v>
      </c>
      <c r="B21" s="18" t="s">
        <v>85</v>
      </c>
      <c r="C21" s="15"/>
      <c r="D21" s="16" t="s">
        <v>28</v>
      </c>
      <c r="E21" s="17" t="s">
        <v>19</v>
      </c>
      <c r="F21" s="17" t="s">
        <v>141</v>
      </c>
      <c r="G21" s="17" t="s">
        <v>142</v>
      </c>
      <c r="H21" s="17" t="s">
        <v>19</v>
      </c>
      <c r="I21" s="17" t="s">
        <v>143</v>
      </c>
      <c r="J21" s="10" t="s">
        <v>42</v>
      </c>
      <c r="K21" s="16" t="s">
        <v>137</v>
      </c>
      <c r="L21" s="16" t="s">
        <v>144</v>
      </c>
      <c r="M21" s="17" t="s">
        <v>145</v>
      </c>
      <c r="N21" s="16" t="s">
        <v>146</v>
      </c>
    </row>
    <row r="22" customFormat="false" ht="84" hidden="false" customHeight="true" outlineLevel="0" collapsed="false">
      <c r="A22" s="11" t="s">
        <v>147</v>
      </c>
      <c r="B22" s="18" t="s">
        <v>85</v>
      </c>
      <c r="C22" s="12"/>
      <c r="D22" s="13" t="s">
        <v>148</v>
      </c>
      <c r="E22" s="14" t="s">
        <v>19</v>
      </c>
      <c r="F22" s="14" t="s">
        <v>19</v>
      </c>
      <c r="G22" s="14" t="s">
        <v>19</v>
      </c>
      <c r="H22" s="14" t="s">
        <v>19</v>
      </c>
      <c r="I22" s="14" t="s">
        <v>149</v>
      </c>
      <c r="J22" s="10" t="s">
        <v>150</v>
      </c>
      <c r="K22" s="13" t="s">
        <v>151</v>
      </c>
      <c r="L22" s="13" t="s">
        <v>152</v>
      </c>
      <c r="M22" s="14" t="s">
        <v>153</v>
      </c>
      <c r="N22" s="13" t="s">
        <v>154</v>
      </c>
    </row>
    <row r="23" customFormat="false" ht="69.75" hidden="false" customHeight="true" outlineLevel="0" collapsed="false">
      <c r="A23" s="4" t="s">
        <v>155</v>
      </c>
      <c r="B23" s="18" t="s">
        <v>85</v>
      </c>
      <c r="C23" s="6" t="s">
        <v>17</v>
      </c>
      <c r="D23" s="7" t="s">
        <v>156</v>
      </c>
      <c r="E23" s="8" t="s">
        <v>19</v>
      </c>
      <c r="F23" s="8" t="s">
        <v>19</v>
      </c>
      <c r="G23" s="8" t="s">
        <v>157</v>
      </c>
      <c r="H23" s="8" t="s">
        <v>19</v>
      </c>
      <c r="I23" s="8" t="s">
        <v>158</v>
      </c>
      <c r="J23" s="10" t="s">
        <v>42</v>
      </c>
      <c r="K23" s="7" t="s">
        <v>159</v>
      </c>
      <c r="L23" s="7" t="s">
        <v>160</v>
      </c>
      <c r="M23" s="8" t="s">
        <v>161</v>
      </c>
      <c r="N23" s="7" t="s">
        <v>162</v>
      </c>
    </row>
    <row r="24" customFormat="false" ht="54" hidden="false" customHeight="true" outlineLevel="0" collapsed="false">
      <c r="A24" s="19" t="s">
        <v>163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</sheetData>
  <mergeCells count="2">
    <mergeCell ref="A1:N1"/>
    <mergeCell ref="A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  <col collapsed="false" customWidth="true" hidden="false" outlineLevel="0" max="4" min="3" style="0" width="18"/>
  </cols>
  <sheetData>
    <row r="1" customFormat="false" ht="30" hidden="false" customHeight="true" outlineLevel="0" collapsed="false">
      <c r="A1" s="1" t="s">
        <v>164</v>
      </c>
      <c r="B1" s="1"/>
      <c r="C1" s="1"/>
      <c r="D1" s="1"/>
    </row>
    <row r="2" customFormat="false" ht="19.5" hidden="false" customHeight="true" outlineLevel="0" collapsed="false">
      <c r="A2" s="3" t="s">
        <v>165</v>
      </c>
      <c r="B2" s="3" t="s">
        <v>166</v>
      </c>
      <c r="C2" s="3" t="s">
        <v>167</v>
      </c>
      <c r="D2" s="3" t="s">
        <v>168</v>
      </c>
    </row>
    <row r="3" customFormat="false" ht="27.75" hidden="false" customHeight="true" outlineLevel="0" collapsed="false">
      <c r="A3" s="20" t="s">
        <v>169</v>
      </c>
      <c r="B3" s="20"/>
      <c r="C3" s="20"/>
      <c r="D3" s="20"/>
    </row>
    <row r="4" customFormat="false" ht="27.75" hidden="false" customHeight="true" outlineLevel="0" collapsed="false">
      <c r="A4" s="21" t="s">
        <v>170</v>
      </c>
      <c r="B4" s="13" t="s">
        <v>171</v>
      </c>
      <c r="C4" s="14" t="s">
        <v>172</v>
      </c>
      <c r="D4" s="14" t="s">
        <v>173</v>
      </c>
    </row>
    <row r="5" customFormat="false" ht="42" hidden="false" customHeight="true" outlineLevel="0" collapsed="false">
      <c r="A5" s="21" t="s">
        <v>174</v>
      </c>
      <c r="B5" s="16" t="s">
        <v>175</v>
      </c>
      <c r="C5" s="17" t="s">
        <v>172</v>
      </c>
      <c r="D5" s="17" t="s">
        <v>173</v>
      </c>
    </row>
    <row r="6" customFormat="false" ht="42" hidden="false" customHeight="true" outlineLevel="0" collapsed="false">
      <c r="A6" s="21" t="s">
        <v>176</v>
      </c>
      <c r="B6" s="13" t="s">
        <v>177</v>
      </c>
      <c r="C6" s="14" t="s">
        <v>172</v>
      </c>
      <c r="D6" s="14" t="s">
        <v>173</v>
      </c>
    </row>
    <row r="7" customFormat="false" ht="27.75" hidden="false" customHeight="true" outlineLevel="0" collapsed="false">
      <c r="A7" s="21" t="s">
        <v>178</v>
      </c>
      <c r="B7" s="16" t="s">
        <v>179</v>
      </c>
      <c r="C7" s="17" t="s">
        <v>172</v>
      </c>
      <c r="D7" s="17" t="s">
        <v>173</v>
      </c>
    </row>
    <row r="8" customFormat="false" ht="27.75" hidden="false" customHeight="true" outlineLevel="0" collapsed="false">
      <c r="A8" s="21" t="s">
        <v>180</v>
      </c>
      <c r="B8" s="13" t="s">
        <v>181</v>
      </c>
      <c r="C8" s="14" t="s">
        <v>182</v>
      </c>
      <c r="D8" s="14" t="s">
        <v>183</v>
      </c>
    </row>
    <row r="9" customFormat="false" ht="27.75" hidden="false" customHeight="true" outlineLevel="0" collapsed="false">
      <c r="A9" s="21" t="s">
        <v>184</v>
      </c>
      <c r="B9" s="16" t="s">
        <v>185</v>
      </c>
      <c r="C9" s="17" t="s">
        <v>186</v>
      </c>
      <c r="D9" s="17" t="s">
        <v>173</v>
      </c>
    </row>
    <row r="10" customFormat="false" ht="27.75" hidden="false" customHeight="true" outlineLevel="0" collapsed="false">
      <c r="A10" s="21" t="s">
        <v>187</v>
      </c>
      <c r="B10" s="13" t="s">
        <v>188</v>
      </c>
      <c r="C10" s="14" t="s">
        <v>186</v>
      </c>
      <c r="D10" s="14" t="s">
        <v>173</v>
      </c>
    </row>
    <row r="11" customFormat="false" ht="27.75" hidden="false" customHeight="true" outlineLevel="0" collapsed="false">
      <c r="A11" s="21" t="s">
        <v>189</v>
      </c>
      <c r="B11" s="16" t="s">
        <v>190</v>
      </c>
      <c r="C11" s="17" t="s">
        <v>186</v>
      </c>
      <c r="D11" s="17" t="s">
        <v>173</v>
      </c>
    </row>
    <row r="12" customFormat="false" ht="27.75" hidden="false" customHeight="true" outlineLevel="0" collapsed="false">
      <c r="A12" s="21" t="s">
        <v>191</v>
      </c>
      <c r="B12" s="13" t="s">
        <v>192</v>
      </c>
      <c r="C12" s="14" t="s">
        <v>186</v>
      </c>
      <c r="D12" s="14" t="s">
        <v>173</v>
      </c>
    </row>
    <row r="13" customFormat="false" ht="27.75" hidden="false" customHeight="true" outlineLevel="0" collapsed="false">
      <c r="A13" s="21" t="s">
        <v>193</v>
      </c>
      <c r="B13" s="16" t="s">
        <v>194</v>
      </c>
      <c r="C13" s="17" t="s">
        <v>195</v>
      </c>
      <c r="D13" s="17" t="s">
        <v>173</v>
      </c>
    </row>
    <row r="14" customFormat="false" ht="27.75" hidden="false" customHeight="true" outlineLevel="0" collapsed="false">
      <c r="A14" s="20" t="s">
        <v>196</v>
      </c>
      <c r="B14" s="20"/>
      <c r="C14" s="20"/>
      <c r="D14" s="20"/>
    </row>
    <row r="15" customFormat="false" ht="27.75" hidden="false" customHeight="true" outlineLevel="0" collapsed="false">
      <c r="A15" s="21" t="s">
        <v>197</v>
      </c>
      <c r="B15" s="16" t="s">
        <v>198</v>
      </c>
      <c r="C15" s="17" t="s">
        <v>199</v>
      </c>
      <c r="D15" s="17" t="s">
        <v>173</v>
      </c>
    </row>
    <row r="16" customFormat="false" ht="27.75" hidden="false" customHeight="true" outlineLevel="0" collapsed="false">
      <c r="A16" s="21" t="s">
        <v>200</v>
      </c>
      <c r="B16" s="13" t="s">
        <v>201</v>
      </c>
      <c r="C16" s="14" t="s">
        <v>202</v>
      </c>
      <c r="D16" s="14" t="s">
        <v>173</v>
      </c>
    </row>
    <row r="17" customFormat="false" ht="27.75" hidden="false" customHeight="true" outlineLevel="0" collapsed="false">
      <c r="A17" s="21" t="s">
        <v>203</v>
      </c>
      <c r="B17" s="16" t="s">
        <v>204</v>
      </c>
      <c r="C17" s="17" t="s">
        <v>205</v>
      </c>
      <c r="D17" s="17" t="s">
        <v>173</v>
      </c>
    </row>
    <row r="18" customFormat="false" ht="27.75" hidden="false" customHeight="true" outlineLevel="0" collapsed="false">
      <c r="A18" s="21" t="s">
        <v>206</v>
      </c>
      <c r="B18" s="13" t="s">
        <v>207</v>
      </c>
      <c r="C18" s="14" t="s">
        <v>208</v>
      </c>
      <c r="D18" s="14" t="s">
        <v>173</v>
      </c>
    </row>
    <row r="19" customFormat="false" ht="27.75" hidden="false" customHeight="true" outlineLevel="0" collapsed="false">
      <c r="A19" s="21" t="s">
        <v>209</v>
      </c>
      <c r="B19" s="16" t="s">
        <v>210</v>
      </c>
      <c r="C19" s="17" t="s">
        <v>211</v>
      </c>
      <c r="D19" s="17" t="s">
        <v>212</v>
      </c>
    </row>
    <row r="20" customFormat="false" ht="27.75" hidden="false" customHeight="true" outlineLevel="0" collapsed="false">
      <c r="A20" s="21" t="s">
        <v>213</v>
      </c>
      <c r="B20" s="13" t="s">
        <v>214</v>
      </c>
      <c r="C20" s="14" t="s">
        <v>211</v>
      </c>
      <c r="D20" s="14" t="s">
        <v>212</v>
      </c>
    </row>
    <row r="21" customFormat="false" ht="27.75" hidden="false" customHeight="true" outlineLevel="0" collapsed="false">
      <c r="A21" s="21" t="s">
        <v>215</v>
      </c>
      <c r="B21" s="16" t="s">
        <v>216</v>
      </c>
      <c r="C21" s="17" t="s">
        <v>211</v>
      </c>
      <c r="D21" s="17" t="s">
        <v>212</v>
      </c>
    </row>
    <row r="22" customFormat="false" ht="27.75" hidden="false" customHeight="true" outlineLevel="0" collapsed="false">
      <c r="A22" s="21" t="s">
        <v>217</v>
      </c>
      <c r="B22" s="13" t="s">
        <v>218</v>
      </c>
      <c r="C22" s="14" t="s">
        <v>211</v>
      </c>
      <c r="D22" s="14" t="s">
        <v>212</v>
      </c>
    </row>
    <row r="23" customFormat="false" ht="55.5" hidden="false" customHeight="true" outlineLevel="0" collapsed="false">
      <c r="A23" s="21" t="s">
        <v>219</v>
      </c>
      <c r="B23" s="16" t="s">
        <v>220</v>
      </c>
      <c r="C23" s="17" t="s">
        <v>221</v>
      </c>
      <c r="D23" s="17" t="s">
        <v>222</v>
      </c>
    </row>
    <row r="24" customFormat="false" ht="27.75" hidden="false" customHeight="true" outlineLevel="0" collapsed="false">
      <c r="A24" s="21" t="s">
        <v>223</v>
      </c>
      <c r="B24" s="13" t="s">
        <v>224</v>
      </c>
      <c r="C24" s="14" t="s">
        <v>225</v>
      </c>
      <c r="D24" s="14" t="s">
        <v>226</v>
      </c>
    </row>
    <row r="25" customFormat="false" ht="27.75" hidden="false" customHeight="true" outlineLevel="0" collapsed="false">
      <c r="A25" s="20" t="s">
        <v>227</v>
      </c>
      <c r="B25" s="20"/>
      <c r="C25" s="20"/>
      <c r="D25" s="20"/>
    </row>
    <row r="26" customFormat="false" ht="27.75" hidden="false" customHeight="true" outlineLevel="0" collapsed="false">
      <c r="A26" s="21" t="s">
        <v>228</v>
      </c>
      <c r="B26" s="13" t="s">
        <v>229</v>
      </c>
      <c r="C26" s="14" t="s">
        <v>230</v>
      </c>
      <c r="D26" s="14" t="s">
        <v>173</v>
      </c>
    </row>
    <row r="27" customFormat="false" ht="27.75" hidden="false" customHeight="true" outlineLevel="0" collapsed="false">
      <c r="A27" s="21" t="s">
        <v>231</v>
      </c>
      <c r="B27" s="16" t="s">
        <v>232</v>
      </c>
      <c r="C27" s="17" t="s">
        <v>233</v>
      </c>
      <c r="D27" s="17" t="s">
        <v>173</v>
      </c>
    </row>
    <row r="28" customFormat="false" ht="27.75" hidden="false" customHeight="true" outlineLevel="0" collapsed="false">
      <c r="A28" s="20" t="s">
        <v>234</v>
      </c>
      <c r="B28" s="20"/>
      <c r="C28" s="20"/>
      <c r="D28" s="20"/>
    </row>
    <row r="29" customFormat="false" ht="27.75" hidden="false" customHeight="true" outlineLevel="0" collapsed="false">
      <c r="A29" s="21" t="s">
        <v>235</v>
      </c>
      <c r="B29" s="16" t="s">
        <v>236</v>
      </c>
      <c r="C29" s="17" t="s">
        <v>237</v>
      </c>
      <c r="D29" s="17" t="s">
        <v>173</v>
      </c>
    </row>
    <row r="30" customFormat="false" ht="27.75" hidden="false" customHeight="true" outlineLevel="0" collapsed="false">
      <c r="A30" s="21" t="s">
        <v>238</v>
      </c>
      <c r="B30" s="13" t="s">
        <v>239</v>
      </c>
      <c r="C30" s="14" t="s">
        <v>237</v>
      </c>
      <c r="D30" s="14" t="s">
        <v>173</v>
      </c>
    </row>
    <row r="31" customFormat="false" ht="27.75" hidden="false" customHeight="true" outlineLevel="0" collapsed="false">
      <c r="A31" s="21" t="s">
        <v>240</v>
      </c>
      <c r="B31" s="16" t="s">
        <v>241</v>
      </c>
      <c r="C31" s="17" t="s">
        <v>237</v>
      </c>
      <c r="D31" s="17" t="s">
        <v>173</v>
      </c>
    </row>
    <row r="32" customFormat="false" ht="27.75" hidden="false" customHeight="true" outlineLevel="0" collapsed="false">
      <c r="A32" s="21" t="s">
        <v>242</v>
      </c>
      <c r="B32" s="13" t="s">
        <v>243</v>
      </c>
      <c r="C32" s="14" t="s">
        <v>244</v>
      </c>
      <c r="D32" s="14" t="s">
        <v>173</v>
      </c>
    </row>
    <row r="33" customFormat="false" ht="27.75" hidden="false" customHeight="true" outlineLevel="0" collapsed="false">
      <c r="A33" s="20" t="s">
        <v>245</v>
      </c>
      <c r="B33" s="20"/>
      <c r="C33" s="20"/>
      <c r="D33" s="20"/>
    </row>
    <row r="34" customFormat="false" ht="27.75" hidden="false" customHeight="true" outlineLevel="0" collapsed="false">
      <c r="A34" s="21" t="s">
        <v>246</v>
      </c>
      <c r="B34" s="13" t="s">
        <v>247</v>
      </c>
      <c r="C34" s="14" t="s">
        <v>248</v>
      </c>
      <c r="D34" s="14" t="s">
        <v>173</v>
      </c>
    </row>
    <row r="35" customFormat="false" ht="27.75" hidden="false" customHeight="true" outlineLevel="0" collapsed="false">
      <c r="A35" s="21" t="s">
        <v>249</v>
      </c>
      <c r="B35" s="16" t="s">
        <v>250</v>
      </c>
      <c r="C35" s="17" t="s">
        <v>251</v>
      </c>
      <c r="D35" s="17" t="s">
        <v>173</v>
      </c>
    </row>
    <row r="36" customFormat="false" ht="27.75" hidden="false" customHeight="true" outlineLevel="0" collapsed="false">
      <c r="A36" s="21" t="s">
        <v>252</v>
      </c>
      <c r="B36" s="13" t="s">
        <v>253</v>
      </c>
      <c r="C36" s="14" t="s">
        <v>251</v>
      </c>
      <c r="D36" s="14" t="s">
        <v>173</v>
      </c>
    </row>
    <row r="37" customFormat="false" ht="27.75" hidden="false" customHeight="true" outlineLevel="0" collapsed="false">
      <c r="A37" s="21" t="s">
        <v>254</v>
      </c>
      <c r="B37" s="16" t="s">
        <v>255</v>
      </c>
      <c r="C37" s="17" t="s">
        <v>251</v>
      </c>
      <c r="D37" s="17" t="s">
        <v>173</v>
      </c>
    </row>
    <row r="38" customFormat="false" ht="27.75" hidden="false" customHeight="true" outlineLevel="0" collapsed="false">
      <c r="A38" s="21" t="s">
        <v>256</v>
      </c>
      <c r="B38" s="13" t="s">
        <v>257</v>
      </c>
      <c r="C38" s="14" t="s">
        <v>251</v>
      </c>
      <c r="D38" s="14" t="s">
        <v>173</v>
      </c>
    </row>
    <row r="39" customFormat="false" ht="27.75" hidden="false" customHeight="true" outlineLevel="0" collapsed="false">
      <c r="A39" s="21" t="s">
        <v>258</v>
      </c>
      <c r="B39" s="16" t="s">
        <v>259</v>
      </c>
      <c r="C39" s="17" t="s">
        <v>251</v>
      </c>
      <c r="D39" s="17" t="s">
        <v>173</v>
      </c>
    </row>
    <row r="40" customFormat="false" ht="27.75" hidden="false" customHeight="true" outlineLevel="0" collapsed="false">
      <c r="A40" s="20" t="s">
        <v>260</v>
      </c>
      <c r="B40" s="20"/>
      <c r="C40" s="20"/>
      <c r="D40" s="20"/>
    </row>
    <row r="41" customFormat="false" ht="27.75" hidden="false" customHeight="true" outlineLevel="0" collapsed="false">
      <c r="A41" s="21" t="s">
        <v>261</v>
      </c>
      <c r="B41" s="16" t="s">
        <v>262</v>
      </c>
      <c r="C41" s="17" t="s">
        <v>263</v>
      </c>
      <c r="D41" s="17" t="s">
        <v>264</v>
      </c>
    </row>
    <row r="42" customFormat="false" ht="27.75" hidden="false" customHeight="true" outlineLevel="0" collapsed="false">
      <c r="A42" s="21" t="s">
        <v>265</v>
      </c>
      <c r="B42" s="13" t="s">
        <v>266</v>
      </c>
      <c r="C42" s="14" t="s">
        <v>267</v>
      </c>
      <c r="D42" s="14" t="s">
        <v>173</v>
      </c>
    </row>
    <row r="43" customFormat="false" ht="27.75" hidden="false" customHeight="true" outlineLevel="0" collapsed="false">
      <c r="A43" s="21" t="s">
        <v>268</v>
      </c>
      <c r="B43" s="16" t="s">
        <v>269</v>
      </c>
      <c r="C43" s="17" t="s">
        <v>270</v>
      </c>
      <c r="D43" s="17" t="s">
        <v>271</v>
      </c>
    </row>
    <row r="44" customFormat="false" ht="27.75" hidden="false" customHeight="true" outlineLevel="0" collapsed="false">
      <c r="A44" s="20" t="s">
        <v>272</v>
      </c>
      <c r="B44" s="20"/>
      <c r="C44" s="20"/>
      <c r="D44" s="20"/>
    </row>
    <row r="45" customFormat="false" ht="42" hidden="false" customHeight="true" outlineLevel="0" collapsed="false">
      <c r="A45" s="21" t="s">
        <v>273</v>
      </c>
      <c r="B45" s="16" t="s">
        <v>274</v>
      </c>
      <c r="C45" s="17" t="s">
        <v>275</v>
      </c>
      <c r="D45" s="17" t="s">
        <v>173</v>
      </c>
    </row>
    <row r="46" customFormat="false" ht="27.75" hidden="false" customHeight="true" outlineLevel="0" collapsed="false">
      <c r="A46" s="21" t="s">
        <v>276</v>
      </c>
      <c r="B46" s="13" t="s">
        <v>277</v>
      </c>
      <c r="C46" s="14" t="s">
        <v>278</v>
      </c>
      <c r="D46" s="14" t="s">
        <v>173</v>
      </c>
    </row>
    <row r="47" customFormat="false" ht="27.75" hidden="false" customHeight="true" outlineLevel="0" collapsed="false">
      <c r="A47" s="21" t="s">
        <v>279</v>
      </c>
      <c r="B47" s="16" t="s">
        <v>280</v>
      </c>
      <c r="C47" s="17" t="s">
        <v>281</v>
      </c>
      <c r="D47" s="17" t="s">
        <v>173</v>
      </c>
    </row>
    <row r="48" customFormat="false" ht="27.75" hidden="false" customHeight="true" outlineLevel="0" collapsed="false">
      <c r="A48" s="21" t="s">
        <v>242</v>
      </c>
      <c r="B48" s="13" t="s">
        <v>282</v>
      </c>
      <c r="C48" s="14" t="s">
        <v>283</v>
      </c>
      <c r="D48" s="14" t="s">
        <v>173</v>
      </c>
    </row>
    <row r="49" customFormat="false" ht="27.75" hidden="false" customHeight="true" outlineLevel="0" collapsed="false">
      <c r="A49" s="21" t="s">
        <v>284</v>
      </c>
      <c r="B49" s="16" t="s">
        <v>285</v>
      </c>
      <c r="C49" s="17" t="s">
        <v>286</v>
      </c>
      <c r="D49" s="17" t="s">
        <v>173</v>
      </c>
    </row>
    <row r="50" customFormat="false" ht="27.75" hidden="false" customHeight="true" outlineLevel="0" collapsed="false">
      <c r="A50" s="20" t="s">
        <v>287</v>
      </c>
      <c r="B50" s="20"/>
      <c r="C50" s="20"/>
      <c r="D50" s="20"/>
    </row>
    <row r="51" customFormat="false" ht="27.75" hidden="false" customHeight="true" outlineLevel="0" collapsed="false">
      <c r="A51" s="21" t="s">
        <v>288</v>
      </c>
      <c r="B51" s="16" t="s">
        <v>289</v>
      </c>
      <c r="C51" s="17" t="s">
        <v>290</v>
      </c>
      <c r="D51" s="17" t="s">
        <v>173</v>
      </c>
    </row>
    <row r="52" customFormat="false" ht="27.75" hidden="false" customHeight="true" outlineLevel="0" collapsed="false">
      <c r="A52" s="21" t="s">
        <v>291</v>
      </c>
      <c r="B52" s="13" t="s">
        <v>292</v>
      </c>
      <c r="C52" s="14" t="s">
        <v>290</v>
      </c>
      <c r="D52" s="14" t="s">
        <v>173</v>
      </c>
    </row>
    <row r="53" customFormat="false" ht="27.75" hidden="false" customHeight="true" outlineLevel="0" collapsed="false">
      <c r="A53" s="21" t="s">
        <v>293</v>
      </c>
      <c r="B53" s="16" t="s">
        <v>294</v>
      </c>
      <c r="C53" s="17" t="s">
        <v>290</v>
      </c>
      <c r="D53" s="17" t="s">
        <v>173</v>
      </c>
    </row>
    <row r="54" customFormat="false" ht="27.75" hidden="false" customHeight="true" outlineLevel="0" collapsed="false">
      <c r="A54" s="21" t="s">
        <v>295</v>
      </c>
      <c r="B54" s="13" t="s">
        <v>296</v>
      </c>
      <c r="C54" s="14" t="s">
        <v>297</v>
      </c>
      <c r="D54" s="14" t="s">
        <v>298</v>
      </c>
    </row>
    <row r="55" customFormat="false" ht="27.75" hidden="false" customHeight="true" outlineLevel="0" collapsed="false">
      <c r="A55" s="20" t="s">
        <v>299</v>
      </c>
      <c r="B55" s="20"/>
      <c r="C55" s="20"/>
      <c r="D55" s="20"/>
    </row>
    <row r="56" customFormat="false" ht="27.75" hidden="false" customHeight="true" outlineLevel="0" collapsed="false">
      <c r="A56" s="21" t="s">
        <v>300</v>
      </c>
      <c r="B56" s="13" t="s">
        <v>301</v>
      </c>
      <c r="C56" s="14" t="s">
        <v>281</v>
      </c>
      <c r="D56" s="14" t="s">
        <v>173</v>
      </c>
    </row>
    <row r="57" customFormat="false" ht="27.75" hidden="false" customHeight="true" outlineLevel="0" collapsed="false">
      <c r="A57" s="21" t="s">
        <v>302</v>
      </c>
      <c r="B57" s="16" t="s">
        <v>303</v>
      </c>
      <c r="C57" s="17" t="s">
        <v>281</v>
      </c>
      <c r="D57" s="17" t="s">
        <v>173</v>
      </c>
    </row>
    <row r="58" customFormat="false" ht="27.75" hidden="false" customHeight="true" outlineLevel="0" collapsed="false">
      <c r="A58" s="20" t="s">
        <v>304</v>
      </c>
      <c r="B58" s="20"/>
      <c r="C58" s="20"/>
      <c r="D58" s="20"/>
    </row>
    <row r="59" customFormat="false" ht="42" hidden="false" customHeight="true" outlineLevel="0" collapsed="false">
      <c r="A59" s="21" t="s">
        <v>305</v>
      </c>
      <c r="B59" s="16" t="s">
        <v>306</v>
      </c>
      <c r="C59" s="17" t="s">
        <v>307</v>
      </c>
      <c r="D59" s="17" t="s">
        <v>222</v>
      </c>
    </row>
    <row r="60" customFormat="false" ht="27.75" hidden="false" customHeight="true" outlineLevel="0" collapsed="false">
      <c r="A60" s="21" t="s">
        <v>308</v>
      </c>
      <c r="B60" s="13" t="s">
        <v>309</v>
      </c>
      <c r="C60" s="14" t="s">
        <v>310</v>
      </c>
      <c r="D60" s="14" t="s">
        <v>183</v>
      </c>
    </row>
    <row r="61" customFormat="false" ht="27.75" hidden="false" customHeight="true" outlineLevel="0" collapsed="false">
      <c r="A61" s="20" t="s">
        <v>311</v>
      </c>
      <c r="B61" s="20"/>
      <c r="C61" s="20"/>
      <c r="D61" s="20"/>
    </row>
    <row r="62" customFormat="false" ht="27.75" hidden="false" customHeight="true" outlineLevel="0" collapsed="false">
      <c r="A62" s="21" t="s">
        <v>312</v>
      </c>
      <c r="B62" s="13" t="s">
        <v>313</v>
      </c>
      <c r="C62" s="14" t="s">
        <v>278</v>
      </c>
      <c r="D62" s="14" t="s">
        <v>173</v>
      </c>
    </row>
    <row r="63" customFormat="false" ht="42" hidden="false" customHeight="true" outlineLevel="0" collapsed="false">
      <c r="A63" s="21" t="s">
        <v>314</v>
      </c>
      <c r="B63" s="16" t="s">
        <v>315</v>
      </c>
      <c r="C63" s="17" t="s">
        <v>316</v>
      </c>
      <c r="D63" s="17" t="s">
        <v>173</v>
      </c>
    </row>
    <row r="64" customFormat="false" ht="27.75" hidden="false" customHeight="true" outlineLevel="0" collapsed="false">
      <c r="A64" s="20" t="s">
        <v>317</v>
      </c>
      <c r="B64" s="20"/>
      <c r="C64" s="20"/>
      <c r="D64" s="20"/>
    </row>
    <row r="65" customFormat="false" ht="27.75" hidden="false" customHeight="true" outlineLevel="0" collapsed="false">
      <c r="A65" s="21" t="s">
        <v>318</v>
      </c>
      <c r="B65" s="16" t="s">
        <v>319</v>
      </c>
      <c r="C65" s="17" t="s">
        <v>320</v>
      </c>
      <c r="D65" s="17" t="s">
        <v>173</v>
      </c>
    </row>
    <row r="66" customFormat="false" ht="27.75" hidden="false" customHeight="true" outlineLevel="0" collapsed="false">
      <c r="A66" s="20" t="s">
        <v>321</v>
      </c>
      <c r="B66" s="20"/>
      <c r="C66" s="20"/>
      <c r="D66" s="20"/>
    </row>
    <row r="67" customFormat="false" ht="27.75" hidden="false" customHeight="true" outlineLevel="0" collapsed="false">
      <c r="A67" s="21" t="s">
        <v>322</v>
      </c>
      <c r="B67" s="16" t="s">
        <v>323</v>
      </c>
      <c r="C67" s="17" t="s">
        <v>324</v>
      </c>
      <c r="D67" s="17" t="s">
        <v>173</v>
      </c>
    </row>
    <row r="68" customFormat="false" ht="27.75" hidden="false" customHeight="true" outlineLevel="0" collapsed="false">
      <c r="A68" s="21" t="s">
        <v>325</v>
      </c>
      <c r="B68" s="13" t="s">
        <v>326</v>
      </c>
      <c r="C68" s="14" t="s">
        <v>327</v>
      </c>
      <c r="D68" s="14" t="s">
        <v>328</v>
      </c>
    </row>
    <row r="69" customFormat="false" ht="27.75" hidden="false" customHeight="true" outlineLevel="0" collapsed="false">
      <c r="A69" s="21" t="s">
        <v>329</v>
      </c>
      <c r="B69" s="16" t="s">
        <v>330</v>
      </c>
      <c r="C69" s="17" t="s">
        <v>331</v>
      </c>
      <c r="D69" s="17" t="s">
        <v>226</v>
      </c>
    </row>
    <row r="70" customFormat="false" ht="27.75" hidden="false" customHeight="true" outlineLevel="0" collapsed="false">
      <c r="A70" s="20" t="s">
        <v>332</v>
      </c>
      <c r="B70" s="20"/>
      <c r="C70" s="20"/>
      <c r="D70" s="20"/>
    </row>
    <row r="71" customFormat="false" ht="27.75" hidden="false" customHeight="true" outlineLevel="0" collapsed="false">
      <c r="A71" s="21" t="s">
        <v>333</v>
      </c>
      <c r="B71" s="16" t="s">
        <v>334</v>
      </c>
      <c r="C71" s="17" t="s">
        <v>335</v>
      </c>
      <c r="D71" s="17" t="s">
        <v>173</v>
      </c>
    </row>
    <row r="72" customFormat="false" ht="27.75" hidden="false" customHeight="true" outlineLevel="0" collapsed="false">
      <c r="A72" s="20" t="s">
        <v>336</v>
      </c>
      <c r="B72" s="20"/>
      <c r="C72" s="20"/>
      <c r="D72" s="20"/>
    </row>
    <row r="73" customFormat="false" ht="42" hidden="false" customHeight="true" outlineLevel="0" collapsed="false">
      <c r="A73" s="21" t="s">
        <v>337</v>
      </c>
      <c r="B73" s="16" t="s">
        <v>338</v>
      </c>
      <c r="C73" s="17" t="s">
        <v>339</v>
      </c>
      <c r="D73" s="17" t="s">
        <v>173</v>
      </c>
    </row>
    <row r="74" customFormat="false" ht="27.75" hidden="false" customHeight="true" outlineLevel="0" collapsed="false">
      <c r="A74" s="21" t="s">
        <v>340</v>
      </c>
      <c r="B74" s="13" t="s">
        <v>341</v>
      </c>
      <c r="C74" s="14" t="s">
        <v>342</v>
      </c>
      <c r="D74" s="14" t="s">
        <v>343</v>
      </c>
    </row>
    <row r="75" customFormat="false" ht="27.75" hidden="false" customHeight="true" outlineLevel="0" collapsed="false">
      <c r="A75" s="20" t="s">
        <v>344</v>
      </c>
      <c r="B75" s="20"/>
      <c r="C75" s="20"/>
      <c r="D75" s="20"/>
    </row>
    <row r="76" customFormat="false" ht="27.75" hidden="false" customHeight="true" outlineLevel="0" collapsed="false">
      <c r="A76" s="21" t="s">
        <v>345</v>
      </c>
      <c r="B76" s="13" t="s">
        <v>346</v>
      </c>
      <c r="C76" s="14" t="s">
        <v>347</v>
      </c>
      <c r="D76" s="14" t="s">
        <v>173</v>
      </c>
    </row>
    <row r="77" customFormat="false" ht="27.75" hidden="false" customHeight="true" outlineLevel="0" collapsed="false">
      <c r="A77" s="20" t="s">
        <v>348</v>
      </c>
      <c r="B77" s="20"/>
      <c r="C77" s="20"/>
      <c r="D77" s="20"/>
    </row>
    <row r="78" customFormat="false" ht="27.75" hidden="false" customHeight="true" outlineLevel="0" collapsed="false">
      <c r="A78" s="21" t="s">
        <v>72</v>
      </c>
      <c r="B78" s="13" t="s">
        <v>349</v>
      </c>
      <c r="C78" s="14" t="s">
        <v>199</v>
      </c>
      <c r="D78" s="14" t="s">
        <v>350</v>
      </c>
    </row>
    <row r="79" customFormat="false" ht="27.75" hidden="false" customHeight="true" outlineLevel="0" collapsed="false">
      <c r="A79" s="21" t="s">
        <v>95</v>
      </c>
      <c r="B79" s="16" t="s">
        <v>351</v>
      </c>
      <c r="C79" s="17" t="s">
        <v>199</v>
      </c>
      <c r="D79" s="17" t="s">
        <v>350</v>
      </c>
    </row>
    <row r="80" customFormat="false" ht="27.75" hidden="false" customHeight="true" outlineLevel="0" collapsed="false">
      <c r="A80" s="21" t="s">
        <v>103</v>
      </c>
      <c r="B80" s="13" t="s">
        <v>352</v>
      </c>
      <c r="C80" s="14" t="s">
        <v>199</v>
      </c>
      <c r="D80" s="14" t="s">
        <v>350</v>
      </c>
    </row>
    <row r="81" customFormat="false" ht="27.75" hidden="false" customHeight="true" outlineLevel="0" collapsed="false">
      <c r="A81" s="21" t="s">
        <v>140</v>
      </c>
      <c r="B81" s="16" t="s">
        <v>353</v>
      </c>
      <c r="C81" s="17" t="s">
        <v>199</v>
      </c>
      <c r="D81" s="17" t="s">
        <v>350</v>
      </c>
    </row>
    <row r="82" customFormat="false" ht="43.5" hidden="false" customHeight="true" outlineLevel="0" collapsed="false">
      <c r="A82" s="19" t="s">
        <v>354</v>
      </c>
      <c r="B82" s="19"/>
      <c r="C82" s="19"/>
      <c r="D82" s="19"/>
    </row>
  </sheetData>
  <mergeCells count="19">
    <mergeCell ref="A1:D1"/>
    <mergeCell ref="A3:D3"/>
    <mergeCell ref="A14:D14"/>
    <mergeCell ref="A25:D25"/>
    <mergeCell ref="A28:D28"/>
    <mergeCell ref="A33:D33"/>
    <mergeCell ref="A40:D40"/>
    <mergeCell ref="A44:D44"/>
    <mergeCell ref="A50:D50"/>
    <mergeCell ref="A55:D55"/>
    <mergeCell ref="A58:D58"/>
    <mergeCell ref="A61:D61"/>
    <mergeCell ref="A64:D64"/>
    <mergeCell ref="A66:D66"/>
    <mergeCell ref="A70:D70"/>
    <mergeCell ref="A72:D72"/>
    <mergeCell ref="A75:D75"/>
    <mergeCell ref="A77:D77"/>
    <mergeCell ref="A82:D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 t="s">
        <v>355</v>
      </c>
      <c r="B1" s="1"/>
      <c r="C1" s="1"/>
      <c r="D1" s="1"/>
    </row>
    <row r="2" customFormat="false" ht="19.5" hidden="false" customHeight="true" outlineLevel="0" collapsed="false">
      <c r="A2" s="3" t="s">
        <v>356</v>
      </c>
      <c r="B2" s="3" t="s">
        <v>357</v>
      </c>
      <c r="C2" s="3" t="s">
        <v>358</v>
      </c>
      <c r="D2" s="3" t="s">
        <v>359</v>
      </c>
    </row>
    <row r="3" customFormat="false" ht="30" hidden="false" customHeight="true" outlineLevel="0" collapsed="false">
      <c r="A3" s="22" t="s">
        <v>360</v>
      </c>
      <c r="B3" s="16" t="s">
        <v>361</v>
      </c>
      <c r="C3" s="16" t="s">
        <v>362</v>
      </c>
      <c r="D3" s="16" t="s">
        <v>363</v>
      </c>
    </row>
    <row r="4" customFormat="false" ht="30" hidden="false" customHeight="true" outlineLevel="0" collapsed="false">
      <c r="A4" s="23" t="s">
        <v>364</v>
      </c>
      <c r="B4" s="13" t="s">
        <v>365</v>
      </c>
      <c r="C4" s="13" t="s">
        <v>366</v>
      </c>
      <c r="D4" s="13" t="s">
        <v>367</v>
      </c>
    </row>
    <row r="5" customFormat="false" ht="30" hidden="false" customHeight="true" outlineLevel="0" collapsed="false">
      <c r="A5" s="22" t="s">
        <v>368</v>
      </c>
      <c r="B5" s="16" t="s">
        <v>369</v>
      </c>
      <c r="C5" s="16" t="s">
        <v>370</v>
      </c>
      <c r="D5" s="16" t="s">
        <v>371</v>
      </c>
    </row>
    <row r="6" customFormat="false" ht="30" hidden="false" customHeight="true" outlineLevel="0" collapsed="false">
      <c r="A6" s="24" t="s">
        <v>372</v>
      </c>
      <c r="B6" s="25" t="s">
        <v>373</v>
      </c>
      <c r="C6" s="13" t="s">
        <v>374</v>
      </c>
      <c r="D6" s="13" t="s">
        <v>375</v>
      </c>
    </row>
    <row r="7" customFormat="false" ht="30" hidden="false" customHeight="true" outlineLevel="0" collapsed="false">
      <c r="A7" s="24" t="s">
        <v>376</v>
      </c>
      <c r="B7" s="16" t="s">
        <v>377</v>
      </c>
      <c r="C7" s="16" t="s">
        <v>378</v>
      </c>
      <c r="D7" s="16" t="s">
        <v>379</v>
      </c>
    </row>
    <row r="8" customFormat="false" ht="30" hidden="false" customHeight="true" outlineLevel="0" collapsed="false">
      <c r="A8" s="23" t="s">
        <v>380</v>
      </c>
      <c r="B8" s="13" t="s">
        <v>381</v>
      </c>
      <c r="C8" s="13" t="s">
        <v>382</v>
      </c>
      <c r="D8" s="13" t="s">
        <v>383</v>
      </c>
    </row>
    <row r="9" customFormat="false" ht="30" hidden="false" customHeight="true" outlineLevel="0" collapsed="false">
      <c r="A9" s="22" t="s">
        <v>384</v>
      </c>
      <c r="B9" s="16" t="s">
        <v>385</v>
      </c>
      <c r="C9" s="16" t="s">
        <v>386</v>
      </c>
      <c r="D9" s="16" t="s">
        <v>387</v>
      </c>
    </row>
    <row r="10" customFormat="false" ht="30" hidden="false" customHeight="true" outlineLevel="0" collapsed="false">
      <c r="A10" s="23" t="s">
        <v>388</v>
      </c>
      <c r="B10" s="13" t="s">
        <v>389</v>
      </c>
      <c r="C10" s="13" t="s">
        <v>390</v>
      </c>
      <c r="D10" s="13" t="s">
        <v>19</v>
      </c>
    </row>
    <row r="11" customFormat="false" ht="30" hidden="false" customHeight="true" outlineLevel="0" collapsed="false">
      <c r="A11" s="22" t="s">
        <v>391</v>
      </c>
      <c r="B11" s="16" t="s">
        <v>392</v>
      </c>
      <c r="C11" s="16" t="s">
        <v>393</v>
      </c>
      <c r="D11" s="16" t="s">
        <v>19</v>
      </c>
    </row>
    <row r="12" customFormat="false" ht="30" hidden="false" customHeight="true" outlineLevel="0" collapsed="false">
      <c r="A12" s="23" t="s">
        <v>394</v>
      </c>
      <c r="B12" s="13" t="s">
        <v>389</v>
      </c>
      <c r="C12" s="13" t="s">
        <v>395</v>
      </c>
      <c r="D12" s="13" t="s">
        <v>396</v>
      </c>
    </row>
    <row r="13" customFormat="false" ht="30" hidden="false" customHeight="true" outlineLevel="0" collapsed="false">
      <c r="A13" s="22" t="s">
        <v>397</v>
      </c>
      <c r="B13" s="16" t="s">
        <v>8</v>
      </c>
      <c r="C13" s="16" t="s">
        <v>398</v>
      </c>
      <c r="D13" s="16" t="s">
        <v>399</v>
      </c>
    </row>
    <row r="14" customFormat="false" ht="30" hidden="false" customHeight="true" outlineLevel="0" collapsed="false">
      <c r="A14" s="23" t="s">
        <v>400</v>
      </c>
      <c r="B14" s="13" t="s">
        <v>392</v>
      </c>
      <c r="C14" s="13" t="s">
        <v>401</v>
      </c>
      <c r="D14" s="13" t="s">
        <v>19</v>
      </c>
    </row>
    <row r="15" customFormat="false" ht="30" hidden="false" customHeight="true" outlineLevel="0" collapsed="false">
      <c r="A15" s="22" t="s">
        <v>402</v>
      </c>
      <c r="B15" s="16" t="s">
        <v>403</v>
      </c>
      <c r="C15" s="16" t="s">
        <v>404</v>
      </c>
      <c r="D15" s="16" t="s">
        <v>405</v>
      </c>
    </row>
    <row r="16" customFormat="false" ht="30" hidden="false" customHeight="true" outlineLevel="0" collapsed="false">
      <c r="A16" s="23" t="s">
        <v>406</v>
      </c>
      <c r="B16" s="13" t="s">
        <v>407</v>
      </c>
      <c r="C16" s="13" t="s">
        <v>408</v>
      </c>
      <c r="D16" s="13" t="s">
        <v>409</v>
      </c>
    </row>
    <row r="17" customFormat="false" ht="30" hidden="false" customHeight="true" outlineLevel="0" collapsed="false">
      <c r="A17" s="22" t="s">
        <v>410</v>
      </c>
      <c r="B17" s="16" t="s">
        <v>411</v>
      </c>
      <c r="C17" s="16" t="s">
        <v>412</v>
      </c>
      <c r="D17" s="16" t="s">
        <v>413</v>
      </c>
    </row>
    <row r="18" customFormat="false" ht="30" hidden="false" customHeight="true" outlineLevel="0" collapsed="false">
      <c r="A18" s="23" t="s">
        <v>414</v>
      </c>
      <c r="B18" s="13" t="s">
        <v>415</v>
      </c>
      <c r="C18" s="13" t="s">
        <v>416</v>
      </c>
      <c r="D18" s="13" t="s">
        <v>417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30" hidden="false" customHeight="true" outlineLevel="0" collapsed="false">
      <c r="A1" s="1" t="s">
        <v>418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6" t="s">
        <v>419</v>
      </c>
      <c r="B2" s="26"/>
      <c r="C2" s="26"/>
      <c r="D2" s="26"/>
      <c r="E2" s="26"/>
      <c r="F2" s="27" t="str">
        <f aca="false">COUNTIF(G4:G28,"Done")&amp;" / 25"</f>
        <v>0 / 25</v>
      </c>
    </row>
    <row r="3" customFormat="false" ht="19.5" hidden="false" customHeight="true" outlineLevel="0" collapsed="false">
      <c r="A3" s="3" t="s">
        <v>420</v>
      </c>
      <c r="B3" s="3" t="s">
        <v>421</v>
      </c>
      <c r="C3" s="3" t="s">
        <v>422</v>
      </c>
      <c r="D3" s="3" t="s">
        <v>423</v>
      </c>
      <c r="E3" s="3" t="s">
        <v>424</v>
      </c>
      <c r="F3" s="3" t="s">
        <v>425</v>
      </c>
      <c r="G3" s="3" t="s">
        <v>426</v>
      </c>
    </row>
    <row r="4" customFormat="false" ht="27.75" hidden="false" customHeight="true" outlineLevel="0" collapsed="false">
      <c r="A4" s="28" t="n">
        <v>1</v>
      </c>
      <c r="B4" s="29" t="s">
        <v>427</v>
      </c>
      <c r="C4" s="30" t="s">
        <v>428</v>
      </c>
      <c r="D4" s="31" t="s">
        <v>429</v>
      </c>
      <c r="E4" s="30" t="s">
        <v>430</v>
      </c>
      <c r="F4" s="28" t="s">
        <v>431</v>
      </c>
      <c r="G4" s="30" t="s">
        <v>432</v>
      </c>
    </row>
    <row r="5" customFormat="false" ht="27.75" hidden="false" customHeight="true" outlineLevel="0" collapsed="false">
      <c r="A5" s="28" t="n">
        <v>2</v>
      </c>
      <c r="B5" s="29" t="s">
        <v>433</v>
      </c>
      <c r="C5" s="30" t="s">
        <v>428</v>
      </c>
      <c r="D5" s="32" t="s">
        <v>10</v>
      </c>
      <c r="E5" s="30" t="s">
        <v>434</v>
      </c>
      <c r="F5" s="28" t="s">
        <v>435</v>
      </c>
      <c r="G5" s="30" t="s">
        <v>432</v>
      </c>
    </row>
    <row r="6" customFormat="false" ht="42" hidden="false" customHeight="true" outlineLevel="0" collapsed="false">
      <c r="A6" s="28" t="n">
        <v>3</v>
      </c>
      <c r="B6" s="29" t="s">
        <v>436</v>
      </c>
      <c r="C6" s="30" t="s">
        <v>437</v>
      </c>
      <c r="D6" s="31" t="s">
        <v>429</v>
      </c>
      <c r="E6" s="30" t="s">
        <v>438</v>
      </c>
      <c r="F6" s="28" t="s">
        <v>439</v>
      </c>
      <c r="G6" s="30" t="s">
        <v>432</v>
      </c>
    </row>
    <row r="7" customFormat="false" ht="42" hidden="false" customHeight="true" outlineLevel="0" collapsed="false">
      <c r="A7" s="28" t="n">
        <v>4</v>
      </c>
      <c r="B7" s="29" t="s">
        <v>440</v>
      </c>
      <c r="C7" s="30" t="s">
        <v>428</v>
      </c>
      <c r="D7" s="17" t="s">
        <v>441</v>
      </c>
      <c r="E7" s="30" t="s">
        <v>442</v>
      </c>
      <c r="F7" s="28" t="s">
        <v>443</v>
      </c>
      <c r="G7" s="30" t="s">
        <v>432</v>
      </c>
    </row>
    <row r="8" customFormat="false" ht="27.75" hidden="false" customHeight="true" outlineLevel="0" collapsed="false">
      <c r="A8" s="28" t="n">
        <v>5</v>
      </c>
      <c r="B8" s="29" t="s">
        <v>444</v>
      </c>
      <c r="C8" s="30" t="s">
        <v>445</v>
      </c>
      <c r="D8" s="17" t="s">
        <v>446</v>
      </c>
      <c r="E8" s="30" t="s">
        <v>447</v>
      </c>
      <c r="F8" s="28" t="s">
        <v>448</v>
      </c>
      <c r="G8" s="30" t="s">
        <v>432</v>
      </c>
    </row>
    <row r="9" customFormat="false" ht="27.75" hidden="false" customHeight="true" outlineLevel="0" collapsed="false">
      <c r="A9" s="28" t="n">
        <v>6</v>
      </c>
      <c r="B9" s="29" t="s">
        <v>449</v>
      </c>
      <c r="C9" s="30" t="s">
        <v>428</v>
      </c>
      <c r="D9" s="32" t="s">
        <v>450</v>
      </c>
      <c r="E9" s="30" t="s">
        <v>451</v>
      </c>
      <c r="F9" s="28" t="s">
        <v>19</v>
      </c>
      <c r="G9" s="30" t="s">
        <v>432</v>
      </c>
    </row>
    <row r="10" customFormat="false" ht="27.75" hidden="false" customHeight="true" outlineLevel="0" collapsed="false">
      <c r="A10" s="28" t="n">
        <v>7</v>
      </c>
      <c r="B10" s="29" t="s">
        <v>452</v>
      </c>
      <c r="C10" s="30" t="s">
        <v>453</v>
      </c>
      <c r="D10" s="32" t="s">
        <v>454</v>
      </c>
      <c r="E10" s="30" t="s">
        <v>455</v>
      </c>
      <c r="F10" s="28" t="s">
        <v>19</v>
      </c>
      <c r="G10" s="30" t="s">
        <v>432</v>
      </c>
    </row>
    <row r="11" customFormat="false" ht="27.75" hidden="false" customHeight="true" outlineLevel="0" collapsed="false">
      <c r="A11" s="28" t="n">
        <v>8</v>
      </c>
      <c r="B11" s="29" t="s">
        <v>456</v>
      </c>
      <c r="C11" s="30" t="s">
        <v>15</v>
      </c>
      <c r="D11" s="17" t="s">
        <v>446</v>
      </c>
      <c r="E11" s="30" t="s">
        <v>457</v>
      </c>
      <c r="F11" s="28" t="s">
        <v>458</v>
      </c>
      <c r="G11" s="30" t="s">
        <v>432</v>
      </c>
    </row>
    <row r="12" customFormat="false" ht="42" hidden="false" customHeight="true" outlineLevel="0" collapsed="false">
      <c r="A12" s="28" t="n">
        <v>9</v>
      </c>
      <c r="B12" s="29" t="s">
        <v>459</v>
      </c>
      <c r="C12" s="30" t="s">
        <v>460</v>
      </c>
      <c r="D12" s="17" t="s">
        <v>446</v>
      </c>
      <c r="E12" s="30" t="s">
        <v>461</v>
      </c>
      <c r="F12" s="28" t="s">
        <v>462</v>
      </c>
      <c r="G12" s="30" t="s">
        <v>432</v>
      </c>
    </row>
    <row r="13" customFormat="false" ht="27.75" hidden="false" customHeight="true" outlineLevel="0" collapsed="false">
      <c r="A13" s="28" t="n">
        <v>10</v>
      </c>
      <c r="B13" s="29" t="s">
        <v>463</v>
      </c>
      <c r="C13" s="30" t="s">
        <v>464</v>
      </c>
      <c r="D13" s="17" t="s">
        <v>446</v>
      </c>
      <c r="E13" s="30" t="s">
        <v>461</v>
      </c>
      <c r="F13" s="28" t="s">
        <v>465</v>
      </c>
      <c r="G13" s="30" t="s">
        <v>432</v>
      </c>
    </row>
    <row r="14" customFormat="false" ht="27.75" hidden="false" customHeight="true" outlineLevel="0" collapsed="false">
      <c r="A14" s="28" t="n">
        <v>11</v>
      </c>
      <c r="B14" s="29" t="s">
        <v>466</v>
      </c>
      <c r="C14" s="30" t="s">
        <v>467</v>
      </c>
      <c r="D14" s="17" t="s">
        <v>441</v>
      </c>
      <c r="E14" s="30" t="s">
        <v>457</v>
      </c>
      <c r="F14" s="28" t="s">
        <v>462</v>
      </c>
      <c r="G14" s="30" t="s">
        <v>432</v>
      </c>
    </row>
    <row r="15" customFormat="false" ht="27.75" hidden="false" customHeight="true" outlineLevel="0" collapsed="false">
      <c r="A15" s="28" t="n">
        <v>12</v>
      </c>
      <c r="B15" s="29" t="s">
        <v>468</v>
      </c>
      <c r="C15" s="30" t="s">
        <v>370</v>
      </c>
      <c r="D15" s="33" t="s">
        <v>469</v>
      </c>
      <c r="E15" s="30" t="s">
        <v>470</v>
      </c>
      <c r="F15" s="28" t="s">
        <v>471</v>
      </c>
      <c r="G15" s="30" t="s">
        <v>432</v>
      </c>
    </row>
    <row r="16" customFormat="false" ht="42" hidden="false" customHeight="true" outlineLevel="0" collapsed="false">
      <c r="A16" s="28" t="n">
        <v>13</v>
      </c>
      <c r="B16" s="29" t="s">
        <v>472</v>
      </c>
      <c r="C16" s="30" t="s">
        <v>473</v>
      </c>
      <c r="D16" s="33" t="s">
        <v>469</v>
      </c>
      <c r="E16" s="30" t="s">
        <v>470</v>
      </c>
      <c r="F16" s="28" t="s">
        <v>474</v>
      </c>
      <c r="G16" s="30" t="s">
        <v>432</v>
      </c>
    </row>
    <row r="17" customFormat="false" ht="27.75" hidden="false" customHeight="true" outlineLevel="0" collapsed="false">
      <c r="A17" s="28" t="n">
        <v>14</v>
      </c>
      <c r="B17" s="29" t="s">
        <v>475</v>
      </c>
      <c r="C17" s="30" t="s">
        <v>428</v>
      </c>
      <c r="D17" s="17" t="s">
        <v>441</v>
      </c>
      <c r="E17" s="30" t="s">
        <v>470</v>
      </c>
      <c r="F17" s="28" t="s">
        <v>462</v>
      </c>
      <c r="G17" s="30" t="s">
        <v>432</v>
      </c>
    </row>
    <row r="18" customFormat="false" ht="27.75" hidden="false" customHeight="true" outlineLevel="0" collapsed="false">
      <c r="A18" s="28" t="n">
        <v>15</v>
      </c>
      <c r="B18" s="29" t="s">
        <v>476</v>
      </c>
      <c r="C18" s="30" t="s">
        <v>477</v>
      </c>
      <c r="D18" s="17" t="s">
        <v>446</v>
      </c>
      <c r="E18" s="30" t="s">
        <v>478</v>
      </c>
      <c r="F18" s="28" t="s">
        <v>465</v>
      </c>
      <c r="G18" s="30" t="s">
        <v>432</v>
      </c>
    </row>
    <row r="19" customFormat="false" ht="42" hidden="false" customHeight="true" outlineLevel="0" collapsed="false">
      <c r="A19" s="28" t="n">
        <v>16</v>
      </c>
      <c r="B19" s="29" t="s">
        <v>479</v>
      </c>
      <c r="C19" s="30" t="s">
        <v>480</v>
      </c>
      <c r="D19" s="34" t="s">
        <v>481</v>
      </c>
      <c r="E19" s="30" t="s">
        <v>482</v>
      </c>
      <c r="F19" s="28" t="s">
        <v>372</v>
      </c>
      <c r="G19" s="30" t="s">
        <v>432</v>
      </c>
    </row>
    <row r="20" customFormat="false" ht="27.75" hidden="false" customHeight="true" outlineLevel="0" collapsed="false">
      <c r="A20" s="28" t="n">
        <v>17</v>
      </c>
      <c r="B20" s="29" t="s">
        <v>483</v>
      </c>
      <c r="C20" s="30" t="s">
        <v>484</v>
      </c>
      <c r="D20" s="34" t="s">
        <v>481</v>
      </c>
      <c r="E20" s="30" t="s">
        <v>485</v>
      </c>
      <c r="F20" s="28" t="s">
        <v>376</v>
      </c>
      <c r="G20" s="30" t="s">
        <v>432</v>
      </c>
    </row>
    <row r="21" customFormat="false" ht="27.75" hidden="false" customHeight="true" outlineLevel="0" collapsed="false">
      <c r="A21" s="28" t="n">
        <v>18</v>
      </c>
      <c r="B21" s="29" t="s">
        <v>486</v>
      </c>
      <c r="C21" s="30" t="s">
        <v>487</v>
      </c>
      <c r="D21" s="34" t="s">
        <v>481</v>
      </c>
      <c r="E21" s="30" t="s">
        <v>488</v>
      </c>
      <c r="F21" s="28" t="s">
        <v>380</v>
      </c>
      <c r="G21" s="30" t="s">
        <v>432</v>
      </c>
    </row>
    <row r="22" customFormat="false" ht="27.75" hidden="false" customHeight="true" outlineLevel="0" collapsed="false">
      <c r="A22" s="28" t="n">
        <v>19</v>
      </c>
      <c r="B22" s="29" t="s">
        <v>489</v>
      </c>
      <c r="C22" s="30" t="s">
        <v>428</v>
      </c>
      <c r="D22" s="34" t="s">
        <v>481</v>
      </c>
      <c r="E22" s="30" t="s">
        <v>490</v>
      </c>
      <c r="F22" s="28" t="s">
        <v>19</v>
      </c>
      <c r="G22" s="30" t="s">
        <v>432</v>
      </c>
    </row>
    <row r="23" customFormat="false" ht="42" hidden="false" customHeight="true" outlineLevel="0" collapsed="false">
      <c r="A23" s="28" t="n">
        <v>20</v>
      </c>
      <c r="B23" s="29" t="s">
        <v>491</v>
      </c>
      <c r="C23" s="30" t="s">
        <v>428</v>
      </c>
      <c r="D23" s="35" t="s">
        <v>492</v>
      </c>
      <c r="E23" s="30" t="s">
        <v>493</v>
      </c>
      <c r="F23" s="28" t="s">
        <v>19</v>
      </c>
      <c r="G23" s="30" t="s">
        <v>432</v>
      </c>
    </row>
    <row r="24" customFormat="false" ht="55.5" hidden="false" customHeight="true" outlineLevel="0" collapsed="false">
      <c r="A24" s="28" t="n">
        <v>21</v>
      </c>
      <c r="B24" s="29" t="s">
        <v>494</v>
      </c>
      <c r="C24" s="30" t="s">
        <v>495</v>
      </c>
      <c r="D24" s="34" t="s">
        <v>481</v>
      </c>
      <c r="E24" s="30" t="s">
        <v>496</v>
      </c>
      <c r="F24" s="28" t="s">
        <v>497</v>
      </c>
      <c r="G24" s="30" t="s">
        <v>432</v>
      </c>
    </row>
    <row r="25" customFormat="false" ht="27.75" hidden="false" customHeight="true" outlineLevel="0" collapsed="false">
      <c r="A25" s="28" t="n">
        <v>22</v>
      </c>
      <c r="B25" s="29" t="s">
        <v>498</v>
      </c>
      <c r="C25" s="30" t="s">
        <v>132</v>
      </c>
      <c r="D25" s="34" t="s">
        <v>481</v>
      </c>
      <c r="E25" s="30" t="s">
        <v>499</v>
      </c>
      <c r="F25" s="28" t="s">
        <v>400</v>
      </c>
      <c r="G25" s="30" t="s">
        <v>432</v>
      </c>
    </row>
    <row r="26" customFormat="false" ht="27.75" hidden="false" customHeight="true" outlineLevel="0" collapsed="false">
      <c r="A26" s="28" t="n">
        <v>23</v>
      </c>
      <c r="B26" s="29" t="s">
        <v>500</v>
      </c>
      <c r="C26" s="30" t="s">
        <v>501</v>
      </c>
      <c r="D26" s="32" t="s">
        <v>502</v>
      </c>
      <c r="E26" s="30" t="s">
        <v>503</v>
      </c>
      <c r="F26" s="28" t="s">
        <v>504</v>
      </c>
      <c r="G26" s="30" t="s">
        <v>432</v>
      </c>
    </row>
    <row r="27" customFormat="false" ht="27.75" hidden="false" customHeight="true" outlineLevel="0" collapsed="false">
      <c r="A27" s="28" t="n">
        <v>24</v>
      </c>
      <c r="B27" s="29" t="s">
        <v>505</v>
      </c>
      <c r="C27" s="30" t="s">
        <v>473</v>
      </c>
      <c r="D27" s="33" t="s">
        <v>469</v>
      </c>
      <c r="E27" s="30" t="s">
        <v>506</v>
      </c>
      <c r="F27" s="28" t="s">
        <v>507</v>
      </c>
      <c r="G27" s="30" t="s">
        <v>432</v>
      </c>
    </row>
    <row r="28" customFormat="false" ht="27.75" hidden="false" customHeight="true" outlineLevel="0" collapsed="false">
      <c r="A28" s="28" t="n">
        <v>25</v>
      </c>
      <c r="B28" s="29" t="s">
        <v>508</v>
      </c>
      <c r="C28" s="30" t="s">
        <v>428</v>
      </c>
      <c r="D28" s="35" t="s">
        <v>492</v>
      </c>
      <c r="E28" s="30" t="s">
        <v>509</v>
      </c>
      <c r="F28" s="28" t="s">
        <v>414</v>
      </c>
      <c r="G28" s="30" t="s">
        <v>432</v>
      </c>
    </row>
  </sheetData>
  <mergeCells count="2">
    <mergeCell ref="A1:G1"/>
    <mergeCell ref="A2:E2"/>
  </mergeCells>
  <dataValidations count="1">
    <dataValidation allowBlank="true" errorStyle="stop" operator="between" showDropDown="false" showErrorMessage="false" showInputMessage="false" sqref="G4:G28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1" customFormat="false" ht="15" hidden="false" customHeight="false" outlineLevel="0" collapsed="false">
      <c r="B1" s="36" t="s">
        <v>510</v>
      </c>
    </row>
    <row r="3" customFormat="false" ht="30" hidden="false" customHeight="true" outlineLevel="0" collapsed="false">
      <c r="B3" s="36" t="s">
        <v>511</v>
      </c>
    </row>
    <row r="5" customFormat="false" ht="21.75" hidden="false" customHeight="true" outlineLevel="0" collapsed="false">
      <c r="B5" s="37" t="s">
        <v>512</v>
      </c>
    </row>
    <row r="6" customFormat="false" ht="42" hidden="false" customHeight="true" outlineLevel="0" collapsed="false">
      <c r="B6" s="36" t="s">
        <v>513</v>
      </c>
    </row>
    <row r="7" customFormat="false" ht="43.5" hidden="false" customHeight="true" outlineLevel="0" collapsed="false">
      <c r="B7" s="38" t="s">
        <v>514</v>
      </c>
    </row>
    <row r="8" customFormat="false" ht="43.5" hidden="false" customHeight="true" outlineLevel="0" collapsed="false">
      <c r="B8" s="38" t="s">
        <v>515</v>
      </c>
    </row>
    <row r="9" customFormat="false" ht="30" hidden="false" customHeight="true" outlineLevel="0" collapsed="false">
      <c r="B9" s="38" t="s">
        <v>516</v>
      </c>
    </row>
    <row r="10" customFormat="false" ht="42" hidden="false" customHeight="true" outlineLevel="0" collapsed="false">
      <c r="B10" s="36" t="s">
        <v>517</v>
      </c>
    </row>
    <row r="12" customFormat="false" ht="21.75" hidden="false" customHeight="true" outlineLevel="0" collapsed="false">
      <c r="B12" s="37" t="s">
        <v>518</v>
      </c>
    </row>
    <row r="13" customFormat="false" ht="57.75" hidden="false" customHeight="true" outlineLevel="0" collapsed="false">
      <c r="B13" s="36" t="s">
        <v>519</v>
      </c>
    </row>
    <row r="14" customFormat="false" ht="43.5" hidden="false" customHeight="true" outlineLevel="0" collapsed="false">
      <c r="B14" s="38" t="s">
        <v>520</v>
      </c>
    </row>
    <row r="15" customFormat="false" ht="43.5" hidden="false" customHeight="true" outlineLevel="0" collapsed="false">
      <c r="B15" s="38" t="s">
        <v>521</v>
      </c>
    </row>
    <row r="17" customFormat="false" ht="21.75" hidden="false" customHeight="true" outlineLevel="0" collapsed="false">
      <c r="B17" s="37" t="s">
        <v>522</v>
      </c>
    </row>
    <row r="18" customFormat="false" ht="30" hidden="false" customHeight="true" outlineLevel="0" collapsed="false">
      <c r="B18" s="36" t="s">
        <v>523</v>
      </c>
    </row>
    <row r="19" customFormat="false" ht="30" hidden="false" customHeight="true" outlineLevel="0" collapsed="false">
      <c r="B19" s="36" t="s">
        <v>524</v>
      </c>
    </row>
    <row r="21" customFormat="false" ht="21.75" hidden="false" customHeight="true" outlineLevel="0" collapsed="false">
      <c r="B21" s="37" t="s">
        <v>525</v>
      </c>
    </row>
    <row r="22" customFormat="false" ht="43.5" hidden="false" customHeight="true" outlineLevel="0" collapsed="false">
      <c r="B22" s="36" t="s">
        <v>526</v>
      </c>
    </row>
    <row r="24" customFormat="false" ht="21.75" hidden="false" customHeight="true" outlineLevel="0" collapsed="false">
      <c r="B24" s="37" t="s">
        <v>527</v>
      </c>
    </row>
    <row r="25" customFormat="false" ht="43.5" hidden="false" customHeight="true" outlineLevel="0" collapsed="false">
      <c r="B25" s="36" t="s">
        <v>528</v>
      </c>
    </row>
    <row r="27" customFormat="false" ht="21.75" hidden="false" customHeight="true" outlineLevel="0" collapsed="false">
      <c r="B27" s="37" t="s">
        <v>529</v>
      </c>
    </row>
    <row r="28" customFormat="false" ht="115.5" hidden="false" customHeight="true" outlineLevel="0" collapsed="false">
      <c r="B28" s="36" t="s">
        <v>530</v>
      </c>
    </row>
    <row r="30" customFormat="false" ht="21.75" hidden="false" customHeight="true" outlineLevel="0" collapsed="false">
      <c r="B30" s="37" t="s">
        <v>531</v>
      </c>
    </row>
    <row r="31" customFormat="false" ht="43.5" hidden="false" customHeight="true" outlineLevel="0" collapsed="false">
      <c r="B31" s="36" t="s">
        <v>532</v>
      </c>
    </row>
    <row r="33" customFormat="false" ht="43.5" hidden="false" customHeight="true" outlineLevel="0" collapsed="false">
      <c r="B33" s="39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10" min="7" style="0" width="12"/>
  </cols>
  <sheetData>
    <row r="1" customFormat="false" ht="30" hidden="false" customHeight="true" outlineLevel="0" collapsed="false">
      <c r="A1" s="1" t="s">
        <v>534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40" t="s">
        <v>535</v>
      </c>
      <c r="B2" s="40"/>
      <c r="C2" s="40"/>
      <c r="D2" s="40"/>
      <c r="E2" s="40"/>
      <c r="F2" s="40"/>
      <c r="G2" s="40"/>
      <c r="H2" s="40"/>
      <c r="I2" s="40"/>
      <c r="J2" s="40"/>
    </row>
    <row r="4" customFormat="false" ht="15" hidden="false" customHeight="false" outlineLevel="0" collapsed="false">
      <c r="A4" s="41" t="s">
        <v>536</v>
      </c>
    </row>
    <row r="5" customFormat="false" ht="15" hidden="false" customHeight="true" outlineLevel="0" collapsed="false">
      <c r="A5" s="42" t="s">
        <v>537</v>
      </c>
      <c r="B5" s="42"/>
      <c r="C5" s="42"/>
      <c r="D5" s="42"/>
      <c r="E5" s="42"/>
      <c r="F5" s="42"/>
      <c r="G5" s="42"/>
      <c r="H5" s="42"/>
      <c r="I5" s="42"/>
      <c r="J5" s="42"/>
    </row>
    <row r="6" customFormat="false" ht="15" hidden="false" customHeight="true" outlineLevel="0" collapsed="false">
      <c r="A6" s="42" t="s">
        <v>538</v>
      </c>
      <c r="B6" s="42"/>
      <c r="C6" s="42"/>
      <c r="D6" s="42"/>
      <c r="E6" s="42"/>
      <c r="F6" s="42"/>
      <c r="G6" s="42"/>
      <c r="H6" s="42"/>
      <c r="I6" s="42"/>
      <c r="J6" s="42"/>
    </row>
    <row r="7" customFormat="false" ht="15" hidden="false" customHeight="true" outlineLevel="0" collapsed="false">
      <c r="A7" s="42" t="s">
        <v>539</v>
      </c>
      <c r="B7" s="42"/>
      <c r="C7" s="42"/>
      <c r="D7" s="42"/>
      <c r="E7" s="42"/>
      <c r="F7" s="42"/>
      <c r="G7" s="42"/>
      <c r="H7" s="42"/>
      <c r="I7" s="42"/>
      <c r="J7" s="42"/>
    </row>
    <row r="8" customFormat="false" ht="15" hidden="false" customHeight="true" outlineLevel="0" collapsed="false">
      <c r="A8" s="42" t="s">
        <v>540</v>
      </c>
      <c r="B8" s="42"/>
      <c r="C8" s="42"/>
      <c r="D8" s="42"/>
      <c r="E8" s="42"/>
      <c r="F8" s="42"/>
      <c r="G8" s="42"/>
      <c r="H8" s="42"/>
      <c r="I8" s="42"/>
      <c r="J8" s="42"/>
    </row>
    <row r="9" customFormat="false" ht="15" hidden="false" customHeight="true" outlineLevel="0" collapsed="false">
      <c r="A9" s="42" t="s">
        <v>541</v>
      </c>
      <c r="B9" s="42"/>
      <c r="C9" s="42"/>
      <c r="D9" s="42"/>
      <c r="E9" s="42"/>
      <c r="F9" s="42"/>
      <c r="G9" s="42"/>
      <c r="H9" s="42"/>
      <c r="I9" s="42"/>
      <c r="J9" s="42"/>
    </row>
    <row r="11" customFormat="false" ht="15" hidden="false" customHeight="false" outlineLevel="0" collapsed="false">
      <c r="A11" s="43" t="s">
        <v>542</v>
      </c>
      <c r="B11" s="43"/>
      <c r="C11" s="43"/>
      <c r="D11" s="43"/>
      <c r="E11" s="43"/>
      <c r="F11" s="43"/>
      <c r="G11" s="43"/>
      <c r="H11" s="43"/>
      <c r="I11" s="43"/>
      <c r="J11" s="43"/>
    </row>
    <row r="12" customFormat="false" ht="15" hidden="false" customHeight="false" outlineLevel="0" collapsed="false">
      <c r="A12" s="44" t="s">
        <v>429</v>
      </c>
      <c r="B12" s="44" t="s">
        <v>543</v>
      </c>
      <c r="C12" s="45" t="s">
        <v>544</v>
      </c>
      <c r="D12" s="45" t="s">
        <v>545</v>
      </c>
      <c r="E12" s="45" t="s">
        <v>546</v>
      </c>
      <c r="F12" s="45"/>
    </row>
    <row r="13" customFormat="false" ht="30" hidden="false" customHeight="true" outlineLevel="0" collapsed="false">
      <c r="A13" s="46" t="s">
        <v>547</v>
      </c>
      <c r="B13" s="47" t="s">
        <v>548</v>
      </c>
      <c r="C13" s="48" t="n">
        <f aca="false">C52</f>
        <v>76.4461863154364</v>
      </c>
      <c r="D13" s="49" t="n">
        <f aca="false">C13+C35*C23</f>
        <v>76.9261863154364</v>
      </c>
      <c r="E13" s="50" t="str">
        <f aca="false">IF(D13=MAX($D$13:$D$17),"◄ best","")</f>
        <v/>
      </c>
    </row>
    <row r="14" customFormat="false" ht="30" hidden="false" customHeight="true" outlineLevel="0" collapsed="false">
      <c r="A14" s="46" t="s">
        <v>549</v>
      </c>
      <c r="B14" s="47" t="s">
        <v>550</v>
      </c>
      <c r="C14" s="48" t="n">
        <f aca="false">C34*B24+(1-C34)*G52</f>
        <v>81.3298262475316</v>
      </c>
      <c r="D14" s="49" t="n">
        <f aca="false">C14+C35*C34-C36*C34</f>
        <v>80.6298262475316</v>
      </c>
      <c r="E14" s="50" t="str">
        <f aca="false">IF(D14=MAX($D$13:$D$17),"◄ best","")</f>
        <v>◄ best</v>
      </c>
    </row>
    <row r="15" customFormat="false" ht="30" hidden="false" customHeight="true" outlineLevel="0" collapsed="false">
      <c r="A15" s="46" t="s">
        <v>551</v>
      </c>
      <c r="B15" s="47" t="s">
        <v>552</v>
      </c>
      <c r="C15" s="48" t="n">
        <f aca="false">E52</f>
        <v>77.1788618846596</v>
      </c>
      <c r="D15" s="49" t="n">
        <f aca="false">C15+C35*(1-(1-C22)*(1-C24))</f>
        <v>78.2988618846596</v>
      </c>
      <c r="E15" s="50" t="str">
        <f aca="false">IF(D15=MAX($D$13:$D$17),"◄ best","")</f>
        <v/>
      </c>
    </row>
    <row r="16" customFormat="false" ht="30" hidden="false" customHeight="true" outlineLevel="0" collapsed="false">
      <c r="A16" s="46" t="s">
        <v>553</v>
      </c>
      <c r="B16" s="47" t="s">
        <v>554</v>
      </c>
      <c r="C16" s="48" t="n">
        <f aca="false">C25*B25+(1-C25)*I52</f>
        <v>76.0437975089625</v>
      </c>
      <c r="D16" s="49" t="n">
        <f aca="false">C16+C35*C25-C36*C25</f>
        <v>75.6037975089625</v>
      </c>
      <c r="E16" s="50" t="str">
        <f aca="false">IF(D16=MAX($D$13:$D$17),"◄ best","")</f>
        <v/>
      </c>
    </row>
    <row r="17" customFormat="false" ht="30" hidden="false" customHeight="true" outlineLevel="0" collapsed="false">
      <c r="A17" s="46" t="s">
        <v>555</v>
      </c>
      <c r="B17" s="47" t="s">
        <v>556</v>
      </c>
      <c r="C17" s="48" t="n">
        <f aca="false">C28*B28+(1-C28)*I52</f>
        <v>71.1175754859399</v>
      </c>
      <c r="D17" s="49" t="n">
        <f aca="false">C17+C35*C28-C36*C28</f>
        <v>70.0175754859399</v>
      </c>
      <c r="E17" s="50" t="str">
        <f aca="false">IF(D17=MAX($D$13:$D$17),"◄ best","")</f>
        <v/>
      </c>
    </row>
    <row r="18" customFormat="false" ht="25.5" hidden="false" customHeight="true" outlineLevel="0" collapsed="false">
      <c r="A18" s="19" t="s">
        <v>557</v>
      </c>
      <c r="B18" s="19"/>
      <c r="C18" s="19"/>
      <c r="D18" s="19"/>
      <c r="E18" s="19"/>
      <c r="F18" s="19"/>
      <c r="G18" s="19"/>
      <c r="H18" s="19"/>
      <c r="I18" s="19"/>
      <c r="J18" s="19"/>
    </row>
    <row r="20" customFormat="false" ht="15" hidden="false" customHeight="false" outlineLevel="0" collapsed="false">
      <c r="A20" s="43" t="s">
        <v>558</v>
      </c>
      <c r="B20" s="43"/>
      <c r="C20" s="43"/>
      <c r="D20" s="43"/>
      <c r="E20" s="43"/>
      <c r="F20" s="43"/>
      <c r="G20" s="43"/>
      <c r="H20" s="43"/>
      <c r="I20" s="43"/>
      <c r="J20" s="43"/>
    </row>
    <row r="21" customFormat="false" ht="15" hidden="false" customHeight="false" outlineLevel="0" collapsed="false">
      <c r="A21" s="44" t="s">
        <v>1</v>
      </c>
      <c r="B21" s="45" t="s">
        <v>559</v>
      </c>
      <c r="C21" s="45" t="s">
        <v>560</v>
      </c>
      <c r="D21" s="45" t="s">
        <v>561</v>
      </c>
      <c r="F21" s="44" t="s">
        <v>562</v>
      </c>
    </row>
    <row r="22" customFormat="false" ht="15" hidden="false" customHeight="false" outlineLevel="0" collapsed="false">
      <c r="A22" s="51" t="s">
        <v>15</v>
      </c>
      <c r="B22" s="52" t="n">
        <v>100</v>
      </c>
      <c r="C22" s="53" t="n">
        <v>0.1</v>
      </c>
      <c r="D22" s="53" t="n">
        <v>0.08</v>
      </c>
      <c r="F22" s="54" t="s">
        <v>563</v>
      </c>
    </row>
    <row r="23" customFormat="false" ht="15" hidden="false" customHeight="false" outlineLevel="0" collapsed="false">
      <c r="A23" s="51" t="s">
        <v>27</v>
      </c>
      <c r="B23" s="52" t="n">
        <v>98</v>
      </c>
      <c r="C23" s="53" t="n">
        <v>0.12</v>
      </c>
      <c r="D23" s="53" t="n">
        <v>0.06</v>
      </c>
      <c r="F23" s="54" t="s">
        <v>564</v>
      </c>
    </row>
    <row r="24" customFormat="false" ht="15" hidden="false" customHeight="false" outlineLevel="0" collapsed="false">
      <c r="A24" s="51" t="s">
        <v>36</v>
      </c>
      <c r="B24" s="52" t="n">
        <v>92</v>
      </c>
      <c r="C24" s="53" t="n">
        <v>0.2</v>
      </c>
      <c r="D24" s="53" t="n">
        <v>0.12</v>
      </c>
      <c r="F24" s="54" t="s">
        <v>565</v>
      </c>
    </row>
    <row r="25" customFormat="false" ht="15" hidden="false" customHeight="false" outlineLevel="0" collapsed="false">
      <c r="A25" s="51" t="s">
        <v>68</v>
      </c>
      <c r="B25" s="52" t="n">
        <v>80</v>
      </c>
      <c r="C25" s="53" t="n">
        <v>0.22</v>
      </c>
      <c r="D25" s="53" t="n">
        <v>0.09</v>
      </c>
      <c r="F25" s="54" t="s">
        <v>566</v>
      </c>
    </row>
    <row r="26" customFormat="false" ht="15" hidden="false" customHeight="false" outlineLevel="0" collapsed="false">
      <c r="A26" s="51" t="s">
        <v>53</v>
      </c>
      <c r="B26" s="52" t="n">
        <v>82</v>
      </c>
      <c r="C26" s="53" t="n">
        <v>0.18</v>
      </c>
      <c r="D26" s="53" t="n">
        <v>0.08</v>
      </c>
      <c r="F26" s="54" t="s">
        <v>566</v>
      </c>
    </row>
    <row r="27" customFormat="false" ht="15" hidden="false" customHeight="false" outlineLevel="0" collapsed="false">
      <c r="A27" s="51" t="s">
        <v>77</v>
      </c>
      <c r="B27" s="52" t="n">
        <v>78</v>
      </c>
      <c r="C27" s="53" t="n">
        <v>0.35</v>
      </c>
      <c r="D27" s="53" t="n">
        <v>0.15</v>
      </c>
      <c r="F27" s="54" t="s">
        <v>566</v>
      </c>
    </row>
    <row r="28" customFormat="false" ht="15" hidden="false" customHeight="false" outlineLevel="0" collapsed="false">
      <c r="A28" s="51" t="s">
        <v>90</v>
      </c>
      <c r="B28" s="52" t="n">
        <v>68</v>
      </c>
      <c r="C28" s="53" t="n">
        <v>0.55</v>
      </c>
      <c r="D28" s="53" t="n">
        <v>0.35</v>
      </c>
      <c r="F28" s="54" t="s">
        <v>566</v>
      </c>
    </row>
    <row r="29" customFormat="false" ht="15" hidden="false" customHeight="false" outlineLevel="0" collapsed="false">
      <c r="A29" s="51" t="s">
        <v>84</v>
      </c>
      <c r="B29" s="52" t="n">
        <v>66</v>
      </c>
      <c r="C29" s="53" t="n">
        <v>0.55</v>
      </c>
      <c r="D29" s="53" t="n">
        <v>0.35</v>
      </c>
      <c r="F29" s="54" t="s">
        <v>566</v>
      </c>
    </row>
    <row r="30" customFormat="false" ht="15" hidden="false" customHeight="false" outlineLevel="0" collapsed="false">
      <c r="A30" s="51" t="s">
        <v>132</v>
      </c>
      <c r="B30" s="52" t="n">
        <v>60</v>
      </c>
      <c r="C30" s="53" t="n">
        <v>0.9</v>
      </c>
      <c r="D30" s="53" t="n">
        <v>0.85</v>
      </c>
      <c r="F30" s="54" t="s">
        <v>567</v>
      </c>
    </row>
    <row r="31" customFormat="false" ht="15" hidden="false" customHeight="false" outlineLevel="0" collapsed="false">
      <c r="A31" s="51" t="s">
        <v>155</v>
      </c>
      <c r="B31" s="52" t="n">
        <v>55</v>
      </c>
      <c r="C31" s="53" t="n">
        <v>0.97</v>
      </c>
      <c r="D31" s="53" t="n">
        <v>0.95</v>
      </c>
      <c r="F31" s="54" t="s">
        <v>568</v>
      </c>
    </row>
    <row r="34" customFormat="false" ht="15" hidden="false" customHeight="false" outlineLevel="0" collapsed="false">
      <c r="A34" s="55" t="s">
        <v>569</v>
      </c>
      <c r="C34" s="53" t="n">
        <v>0.35</v>
      </c>
    </row>
    <row r="35" customFormat="false" ht="15" hidden="false" customHeight="false" outlineLevel="0" collapsed="false">
      <c r="A35" s="55" t="s">
        <v>570</v>
      </c>
      <c r="C35" s="52" t="n">
        <v>4</v>
      </c>
    </row>
    <row r="36" customFormat="false" ht="15" hidden="false" customHeight="false" outlineLevel="0" collapsed="false">
      <c r="A36" s="55" t="s">
        <v>571</v>
      </c>
      <c r="C36" s="52" t="n">
        <v>6</v>
      </c>
    </row>
    <row r="38" customFormat="false" ht="15" hidden="false" customHeight="false" outlineLevel="0" collapsed="false">
      <c r="A38" s="56" t="s">
        <v>572</v>
      </c>
    </row>
    <row r="40" customFormat="false" ht="15" hidden="false" customHeight="false" outlineLevel="0" collapsed="false">
      <c r="A40" s="57" t="s">
        <v>1</v>
      </c>
      <c r="B40" s="57" t="s">
        <v>573</v>
      </c>
      <c r="C40" s="57" t="s">
        <v>574</v>
      </c>
      <c r="D40" s="57" t="s">
        <v>575</v>
      </c>
      <c r="E40" s="57" t="s">
        <v>576</v>
      </c>
      <c r="F40" s="57" t="s">
        <v>577</v>
      </c>
      <c r="G40" s="57" t="s">
        <v>578</v>
      </c>
      <c r="H40" s="57" t="s">
        <v>579</v>
      </c>
      <c r="I40" s="57" t="s">
        <v>580</v>
      </c>
      <c r="J40" s="57" t="s">
        <v>581</v>
      </c>
    </row>
    <row r="41" customFormat="false" ht="15" hidden="false" customHeight="false" outlineLevel="0" collapsed="false">
      <c r="A41" s="58" t="str">
        <f aca="false">A22</f>
        <v>MIT</v>
      </c>
      <c r="B41" s="59" t="n">
        <f aca="false">B22</f>
        <v>100</v>
      </c>
      <c r="C41" s="60" t="n">
        <f aca="false">D22</f>
        <v>0.08</v>
      </c>
      <c r="D41" s="61" t="n">
        <f aca="false">C41*EXP(SUMPRODUCT(($B$41:$B$50&gt;$B41)*LN(1-$C$41:$C$50)))</f>
        <v>0.08</v>
      </c>
      <c r="E41" s="60" t="n">
        <f aca="false">C22</f>
        <v>0.1</v>
      </c>
      <c r="F41" s="61" t="n">
        <f aca="false">E41*EXP(SUMPRODUCT(($B$41:$B$50&gt;$B41)*LN(1-$E$41:$E$50)))</f>
        <v>0.1</v>
      </c>
      <c r="G41" s="60" t="n">
        <f aca="false">C22</f>
        <v>0.1</v>
      </c>
      <c r="H41" s="61" t="n">
        <f aca="false">G41*EXP(SUMPRODUCT(($B$41:$B$50&gt;$B41)*LN(1-$G$41:$G$50)))</f>
        <v>0.1</v>
      </c>
      <c r="I41" s="60" t="n">
        <f aca="false">D22</f>
        <v>0.08</v>
      </c>
      <c r="J41" s="61" t="n">
        <f aca="false">I41*EXP(SUMPRODUCT(($B$41:$B$50&gt;$B41)*LN(1-$I$41:$I$50)))</f>
        <v>0.08</v>
      </c>
    </row>
    <row r="42" customFormat="false" ht="15" hidden="false" customHeight="false" outlineLevel="0" collapsed="false">
      <c r="A42" s="58" t="str">
        <f aca="false">A23</f>
        <v>Yale</v>
      </c>
      <c r="B42" s="59" t="n">
        <f aca="false">B23</f>
        <v>98</v>
      </c>
      <c r="C42" s="60" t="n">
        <f aca="false">C23</f>
        <v>0.12</v>
      </c>
      <c r="D42" s="61" t="n">
        <f aca="false">C42*EXP(SUMPRODUCT(($B$41:$B$50&gt;$B42)*LN(1-$C$41:$C$50)))</f>
        <v>0.1104</v>
      </c>
      <c r="E42" s="60" t="n">
        <f aca="false">D23</f>
        <v>0.06</v>
      </c>
      <c r="F42" s="61" t="n">
        <f aca="false">E42*EXP(SUMPRODUCT(($B$41:$B$50&gt;$B42)*LN(1-$E$41:$E$50)))</f>
        <v>0.054</v>
      </c>
      <c r="G42" s="60" t="n">
        <f aca="false">D23</f>
        <v>0.06</v>
      </c>
      <c r="H42" s="61" t="n">
        <f aca="false">G42*EXP(SUMPRODUCT(($B$41:$B$50&gt;$B42)*LN(1-$G$41:$G$50)))</f>
        <v>0.054</v>
      </c>
      <c r="I42" s="60" t="n">
        <f aca="false">D23</f>
        <v>0.06</v>
      </c>
      <c r="J42" s="61" t="n">
        <f aca="false">I42*EXP(SUMPRODUCT(($B$41:$B$50&gt;$B42)*LN(1-$I$41:$I$50)))</f>
        <v>0.0552</v>
      </c>
    </row>
    <row r="43" customFormat="false" ht="15" hidden="false" customHeight="false" outlineLevel="0" collapsed="false">
      <c r="A43" s="58" t="str">
        <f aca="false">A24</f>
        <v>University of Chicago</v>
      </c>
      <c r="B43" s="59" t="n">
        <f aca="false">B24</f>
        <v>92</v>
      </c>
      <c r="C43" s="60" t="n">
        <f aca="false">D24</f>
        <v>0.12</v>
      </c>
      <c r="D43" s="61" t="n">
        <f aca="false">C43*EXP(SUMPRODUCT(($B$41:$B$50&gt;$B43)*LN(1-$C$41:$C$50)))</f>
        <v>0.097152</v>
      </c>
      <c r="E43" s="60" t="n">
        <f aca="false">C24</f>
        <v>0.2</v>
      </c>
      <c r="F43" s="61" t="n">
        <f aca="false">E43*EXP(SUMPRODUCT(($B$41:$B$50&gt;$B43)*LN(1-$E$41:$E$50)))</f>
        <v>0.1692</v>
      </c>
      <c r="G43" s="60" t="n">
        <f aca="false">D24</f>
        <v>0.12</v>
      </c>
      <c r="H43" s="61" t="n">
        <f aca="false">G43*EXP(SUMPRODUCT(($B$41:$B$50&gt;$B43)*LN(1-$G$41:$G$50)))</f>
        <v>0.10152</v>
      </c>
      <c r="I43" s="60" t="n">
        <f aca="false">D24</f>
        <v>0.12</v>
      </c>
      <c r="J43" s="61" t="n">
        <f aca="false">I43*EXP(SUMPRODUCT(($B$41:$B$50&gt;$B43)*LN(1-$I$41:$I$50)))</f>
        <v>0.103776</v>
      </c>
    </row>
    <row r="44" customFormat="false" ht="15" hidden="false" customHeight="false" outlineLevel="0" collapsed="false">
      <c r="A44" s="58" t="str">
        <f aca="false">A25</f>
        <v>UPenn</v>
      </c>
      <c r="B44" s="59" t="n">
        <f aca="false">B25</f>
        <v>80</v>
      </c>
      <c r="C44" s="60" t="n">
        <f aca="false">D25</f>
        <v>0.09</v>
      </c>
      <c r="D44" s="61" t="n">
        <f aca="false">C44*EXP(SUMPRODUCT(($B$41:$B$50&gt;$B44)*LN(1-$C$41:$C$50)))</f>
        <v>0.0589906944</v>
      </c>
      <c r="E44" s="60" t="n">
        <f aca="false">D25</f>
        <v>0.09</v>
      </c>
      <c r="F44" s="61" t="n">
        <f aca="false">E44*EXP(SUMPRODUCT(($B$41:$B$50&gt;$B44)*LN(1-$E$41:$E$50)))</f>
        <v>0.05603904</v>
      </c>
      <c r="G44" s="60" t="n">
        <f aca="false">D25</f>
        <v>0.09</v>
      </c>
      <c r="H44" s="61" t="n">
        <f aca="false">G44*EXP(SUMPRODUCT(($B$41:$B$50&gt;$B44)*LN(1-$G$41:$G$50)))</f>
        <v>0.061642944</v>
      </c>
      <c r="I44" s="60" t="n">
        <f aca="false">D25</f>
        <v>0.09</v>
      </c>
      <c r="J44" s="61" t="n">
        <f aca="false">I44*EXP(SUMPRODUCT(($B$41:$B$50&gt;$B44)*LN(1-$I$41:$I$50)))</f>
        <v>0.0630127872</v>
      </c>
    </row>
    <row r="45" customFormat="false" ht="15" hidden="false" customHeight="false" outlineLevel="0" collapsed="false">
      <c r="A45" s="58" t="str">
        <f aca="false">A26</f>
        <v>Columbia</v>
      </c>
      <c r="B45" s="59" t="n">
        <f aca="false">B26</f>
        <v>82</v>
      </c>
      <c r="C45" s="60" t="n">
        <f aca="false">D26</f>
        <v>0.08</v>
      </c>
      <c r="D45" s="61" t="n">
        <f aca="false">C45*EXP(SUMPRODUCT(($B$41:$B$50&gt;$B45)*LN(1-$C$41:$C$50)))</f>
        <v>0.05699584</v>
      </c>
      <c r="E45" s="60" t="n">
        <f aca="false">D26</f>
        <v>0.08</v>
      </c>
      <c r="F45" s="61" t="n">
        <f aca="false">E45*EXP(SUMPRODUCT(($B$41:$B$50&gt;$B45)*LN(1-$E$41:$E$50)))</f>
        <v>0.054144</v>
      </c>
      <c r="G45" s="60" t="n">
        <f aca="false">D26</f>
        <v>0.08</v>
      </c>
      <c r="H45" s="61" t="n">
        <f aca="false">G45*EXP(SUMPRODUCT(($B$41:$B$50&gt;$B45)*LN(1-$G$41:$G$50)))</f>
        <v>0.0595584</v>
      </c>
      <c r="I45" s="60" t="n">
        <f aca="false">D26</f>
        <v>0.08</v>
      </c>
      <c r="J45" s="61" t="n">
        <f aca="false">I45*EXP(SUMPRODUCT(($B$41:$B$50&gt;$B45)*LN(1-$I$41:$I$50)))</f>
        <v>0.06088192</v>
      </c>
    </row>
    <row r="46" customFormat="false" ht="15" hidden="false" customHeight="false" outlineLevel="0" collapsed="false">
      <c r="A46" s="58" t="str">
        <f aca="false">A27</f>
        <v>Swarthmore</v>
      </c>
      <c r="B46" s="59" t="n">
        <f aca="false">B27</f>
        <v>78</v>
      </c>
      <c r="C46" s="60" t="n">
        <f aca="false">D27</f>
        <v>0.15</v>
      </c>
      <c r="D46" s="61" t="n">
        <f aca="false">C46*EXP(SUMPRODUCT(($B$41:$B$50&gt;$B46)*LN(1-$C$41:$C$50)))</f>
        <v>0.08946921984</v>
      </c>
      <c r="E46" s="60" t="n">
        <f aca="false">D27</f>
        <v>0.15</v>
      </c>
      <c r="F46" s="61" t="n">
        <f aca="false">E46*EXP(SUMPRODUCT(($B$41:$B$50&gt;$B46)*LN(1-$E$41:$E$50)))</f>
        <v>0.084992544</v>
      </c>
      <c r="G46" s="60" t="n">
        <f aca="false">D27</f>
        <v>0.15</v>
      </c>
      <c r="H46" s="61" t="n">
        <f aca="false">G46*EXP(SUMPRODUCT(($B$41:$B$50&gt;$B46)*LN(1-$G$41:$G$50)))</f>
        <v>0.0934917984</v>
      </c>
      <c r="I46" s="60" t="n">
        <f aca="false">D27</f>
        <v>0.15</v>
      </c>
      <c r="J46" s="61" t="n">
        <f aca="false">I46*EXP(SUMPRODUCT(($B$41:$B$50&gt;$B46)*LN(1-$I$41:$I$50)))</f>
        <v>0.09556939392</v>
      </c>
    </row>
    <row r="47" customFormat="false" ht="15" hidden="false" customHeight="false" outlineLevel="0" collapsed="false">
      <c r="A47" s="58" t="str">
        <f aca="false">A28</f>
        <v>Vassar</v>
      </c>
      <c r="B47" s="59" t="n">
        <f aca="false">B28</f>
        <v>68</v>
      </c>
      <c r="C47" s="60" t="n">
        <f aca="false">D28</f>
        <v>0.35</v>
      </c>
      <c r="D47" s="61" t="n">
        <f aca="false">C47*EXP(SUMPRODUCT(($B$41:$B$50&gt;$B47)*LN(1-$C$41:$C$50)))</f>
        <v>0.177447286016</v>
      </c>
      <c r="E47" s="60" t="n">
        <f aca="false">D28</f>
        <v>0.35</v>
      </c>
      <c r="F47" s="61" t="n">
        <f aca="false">E47*EXP(SUMPRODUCT(($B$41:$B$50&gt;$B47)*LN(1-$E$41:$E$50)))</f>
        <v>0.1685685456</v>
      </c>
      <c r="G47" s="60" t="n">
        <f aca="false">D28</f>
        <v>0.35</v>
      </c>
      <c r="H47" s="61" t="n">
        <f aca="false">G47*EXP(SUMPRODUCT(($B$41:$B$50&gt;$B47)*LN(1-$G$41:$G$50)))</f>
        <v>0.18542540016</v>
      </c>
      <c r="I47" s="60" t="n">
        <f aca="false">D28</f>
        <v>0.35</v>
      </c>
      <c r="J47" s="61" t="n">
        <f aca="false">I47*EXP(SUMPRODUCT(($B$41:$B$50&gt;$B47)*LN(1-$I$41:$I$50)))</f>
        <v>0.189545964608</v>
      </c>
    </row>
    <row r="48" customFormat="false" ht="15" hidden="false" customHeight="false" outlineLevel="0" collapsed="false">
      <c r="A48" s="58" t="str">
        <f aca="false">A29</f>
        <v>Wesleyan</v>
      </c>
      <c r="B48" s="59" t="n">
        <f aca="false">B29</f>
        <v>66</v>
      </c>
      <c r="C48" s="60" t="n">
        <f aca="false">D29</f>
        <v>0.35</v>
      </c>
      <c r="D48" s="61" t="n">
        <f aca="false">C48*EXP(SUMPRODUCT(($B$41:$B$50&gt;$B48)*LN(1-$C$41:$C$50)))</f>
        <v>0.1153407359104</v>
      </c>
      <c r="E48" s="60" t="n">
        <f aca="false">D29</f>
        <v>0.35</v>
      </c>
      <c r="F48" s="61" t="n">
        <f aca="false">E48*EXP(SUMPRODUCT(($B$41:$B$50&gt;$B48)*LN(1-$E$41:$E$50)))</f>
        <v>0.10956955464</v>
      </c>
      <c r="G48" s="60" t="n">
        <f aca="false">D29</f>
        <v>0.35</v>
      </c>
      <c r="H48" s="61" t="n">
        <f aca="false">G48*EXP(SUMPRODUCT(($B$41:$B$50&gt;$B48)*LN(1-$G$41:$G$50)))</f>
        <v>0.120526510104</v>
      </c>
      <c r="I48" s="60" t="n">
        <f aca="false">D29</f>
        <v>0.35</v>
      </c>
      <c r="J48" s="61" t="n">
        <f aca="false">I48*EXP(SUMPRODUCT(($B$41:$B$50&gt;$B48)*LN(1-$I$41:$I$50)))</f>
        <v>0.1232048769952</v>
      </c>
    </row>
    <row r="49" customFormat="false" ht="15" hidden="false" customHeight="false" outlineLevel="0" collapsed="false">
      <c r="A49" s="58" t="str">
        <f aca="false">A30</f>
        <v>RIT</v>
      </c>
      <c r="B49" s="59" t="n">
        <f aca="false">B30</f>
        <v>60</v>
      </c>
      <c r="C49" s="60" t="n">
        <f aca="false">D30</f>
        <v>0.85</v>
      </c>
      <c r="D49" s="61" t="n">
        <f aca="false">C49*EXP(SUMPRODUCT(($B$41:$B$50&gt;$B49)*LN(1-$C$41:$C$50)))</f>
        <v>0.18207359025856</v>
      </c>
      <c r="E49" s="60" t="n">
        <f aca="false">C30</f>
        <v>0.9</v>
      </c>
      <c r="F49" s="61" t="n">
        <f aca="false">E49*EXP(SUMPRODUCT(($B$41:$B$50&gt;$B49)*LN(1-$E$41:$E$50)))</f>
        <v>0.183137684184</v>
      </c>
      <c r="G49" s="60" t="n">
        <f aca="false">C30</f>
        <v>0.9</v>
      </c>
      <c r="H49" s="61" t="n">
        <f aca="false">G49*EXP(SUMPRODUCT(($B$41:$B$50&gt;$B49)*LN(1-$G$41:$G$50)))</f>
        <v>0.2014514526024</v>
      </c>
      <c r="I49" s="60" t="n">
        <f aca="false">D30</f>
        <v>0.85</v>
      </c>
      <c r="J49" s="61" t="n">
        <f aca="false">I49*EXP(SUMPRODUCT(($B$41:$B$50&gt;$B49)*LN(1-$I$41:$I$50)))</f>
        <v>0.19448769868528</v>
      </c>
    </row>
    <row r="50" customFormat="false" ht="15" hidden="false" customHeight="false" outlineLevel="0" collapsed="false">
      <c r="A50" s="58" t="str">
        <f aca="false">A31</f>
        <v>University of Minnesota</v>
      </c>
      <c r="B50" s="59" t="n">
        <f aca="false">B31</f>
        <v>55</v>
      </c>
      <c r="C50" s="60" t="n">
        <f aca="false">C31</f>
        <v>0.97</v>
      </c>
      <c r="D50" s="61" t="n">
        <f aca="false">C50*EXP(SUMPRODUCT(($B$41:$B$50&gt;$B50)*LN(1-$C$41:$C$50)))</f>
        <v>0.0311667145677888</v>
      </c>
      <c r="E50" s="60" t="n">
        <f aca="false">C31</f>
        <v>0.97</v>
      </c>
      <c r="F50" s="61" t="n">
        <f aca="false">E50*EXP(SUMPRODUCT(($B$41:$B$50&gt;$B50)*LN(1-$E$41:$E$50)))</f>
        <v>0.01973817262872</v>
      </c>
      <c r="G50" s="60" t="n">
        <f aca="false">C31</f>
        <v>0.97</v>
      </c>
      <c r="H50" s="61" t="n">
        <f aca="false">G50*EXP(SUMPRODUCT(($B$41:$B$50&gt;$B50)*LN(1-$G$41:$G$50)))</f>
        <v>0.021711989891592</v>
      </c>
      <c r="I50" s="60" t="n">
        <f aca="false">D31</f>
        <v>0.95</v>
      </c>
      <c r="J50" s="61" t="n">
        <f aca="false">I50*EXP(SUMPRODUCT(($B$41:$B$50&gt;$B50)*LN(1-$I$41:$I$50)))</f>
        <v>0.032605290661944</v>
      </c>
    </row>
    <row r="52" customFormat="false" ht="15" hidden="false" customHeight="false" outlineLevel="0" collapsed="false">
      <c r="A52" s="62" t="s">
        <v>582</v>
      </c>
      <c r="C52" s="63" t="n">
        <f aca="false">SUMPRODUCT($B$41:$B$50,$D$41:$D$50)</f>
        <v>76.4461863154364</v>
      </c>
      <c r="E52" s="63" t="n">
        <f aca="false">SUMPRODUCT($B$41:$B$50,$F$41:$F$50)</f>
        <v>77.1788618846596</v>
      </c>
      <c r="G52" s="63" t="n">
        <f aca="false">SUMPRODUCT($B$41:$B$50,$H$41:$H$50)</f>
        <v>75.5843480731256</v>
      </c>
      <c r="I52" s="63" t="n">
        <f aca="false">SUMPRODUCT($B$41:$B$50,$J$41:$J$50)</f>
        <v>74.9279455243109</v>
      </c>
    </row>
  </sheetData>
  <mergeCells count="10">
    <mergeCell ref="A1:J1"/>
    <mergeCell ref="A2:J2"/>
    <mergeCell ref="A5:J5"/>
    <mergeCell ref="A6:J6"/>
    <mergeCell ref="A7:J7"/>
    <mergeCell ref="A8:J8"/>
    <mergeCell ref="A9:J9"/>
    <mergeCell ref="A11:J11"/>
    <mergeCell ref="A18:J18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2026-07-19T21:38:33Z</dcterms:created>
  <dc:creator>openpyxl</dc:creator>
  <dc:description/>
  <dc:language>en-US</dc:language>
  <cp:lastModifiedBy/>
  <dcterms:modified xsi:type="dcterms:W3CDTF">2026-07-19T21:38:33Z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