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2F5B45"/>
      <sz val="15"/>
    </font>
    <font>
      <name val="Arial"/>
      <i val="1"/>
      <color rgb="005F6B70"/>
      <sz val="9"/>
    </font>
    <font>
      <name val="Arial"/>
      <color rgb="005F6B7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8000"/>
      <sz val="10"/>
    </font>
    <font>
      <name val="Arial"/>
      <b val="1"/>
      <color rgb="002F5B45"/>
      <sz val="11"/>
    </font>
    <font>
      <name val="Arial"/>
      <b val="1"/>
      <color rgb="00000000"/>
      <sz val="11"/>
    </font>
    <font>
      <name val="Arial"/>
      <color rgb="005F6B70"/>
      <sz val="10"/>
    </font>
    <font>
      <name val="Arial"/>
      <b val="1"/>
      <color rgb="002F5B45"/>
      <sz val="12"/>
    </font>
    <font>
      <name val="Arial"/>
      <i val="1"/>
      <color rgb="005F6B70"/>
      <sz val="8"/>
    </font>
  </fonts>
  <fills count="6">
    <fill>
      <patternFill/>
    </fill>
    <fill>
      <patternFill patternType="gray125"/>
    </fill>
    <fill>
      <patternFill patternType="solid">
        <fgColor rgb="002F5B45"/>
      </patternFill>
    </fill>
    <fill>
      <patternFill patternType="solid">
        <fgColor rgb="00FFF3CD"/>
      </patternFill>
    </fill>
    <fill>
      <patternFill patternType="solid">
        <fgColor rgb="00DDE7DF"/>
      </patternFill>
    </fill>
    <fill>
      <patternFill patternType="solid">
        <fgColor rgb="00EAF1EC"/>
      </patternFill>
    </fill>
  </fills>
  <borders count="3">
    <border>
      <left/>
      <right/>
      <top/>
      <bottom/>
      <diagonal/>
    </border>
    <border>
      <top style="thin">
        <color rgb="00555555"/>
      </top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4" fontId="6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165" fontId="6" fillId="3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7" fillId="0" borderId="1" pivotButton="0" quotePrefix="0" xfId="0"/>
    <xf numFmtId="165" fontId="7" fillId="4" borderId="1" applyAlignment="1" pivotButton="0" quotePrefix="0" xfId="0">
      <alignment horizontal="right"/>
    </xf>
    <xf numFmtId="0" fontId="8" fillId="5" borderId="0" applyAlignment="1" pivotButton="0" quotePrefix="0" xfId="0">
      <alignment horizontal="left" wrapText="1"/>
    </xf>
    <xf numFmtId="0" fontId="8" fillId="5" borderId="0" applyAlignment="1" pivotButton="0" quotePrefix="0" xfId="0">
      <alignment horizontal="center"/>
    </xf>
    <xf numFmtId="3" fontId="6" fillId="3" borderId="0" applyAlignment="1" pivotButton="0" quotePrefix="0" xfId="0">
      <alignment horizontal="center"/>
    </xf>
    <xf numFmtId="165" fontId="6" fillId="3" borderId="0" applyAlignment="1" pivotButton="0" quotePrefix="0" xfId="0">
      <alignment horizontal="center"/>
    </xf>
    <xf numFmtId="165" fontId="5" fillId="0" borderId="0" applyAlignment="1" pivotButton="0" quotePrefix="0" xfId="0">
      <alignment horizontal="right"/>
    </xf>
    <xf numFmtId="0" fontId="7" fillId="0" borderId="0" pivotButton="0" quotePrefix="0" xfId="0"/>
    <xf numFmtId="165" fontId="7" fillId="0" borderId="1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10" fillId="4" borderId="0" pivotButton="0" quotePrefix="0" xfId="0"/>
    <xf numFmtId="165" fontId="10" fillId="4" borderId="2" applyAlignment="1" pivotButton="0" quotePrefix="0" xfId="0">
      <alignment horizontal="right"/>
    </xf>
    <xf numFmtId="0" fontId="11" fillId="4" borderId="0" pivotButton="0" quotePrefix="0" xfId="0"/>
    <xf numFmtId="165" fontId="11" fillId="4" borderId="1" applyAlignment="1" pivotButton="0" quotePrefix="0" xfId="0">
      <alignment horizontal="right"/>
    </xf>
    <xf numFmtId="0" fontId="12" fillId="0" borderId="0" pivotButton="0" quotePrefix="0" xfId="0"/>
    <xf numFmtId="0" fontId="13" fillId="4" borderId="0" pivotButton="0" quotePrefix="0" xfId="0"/>
    <xf numFmtId="0" fontId="0" fillId="4" borderId="0" pivotButton="0" quotePrefix="0" xfId="0"/>
    <xf numFmtId="165" fontId="13" fillId="4" borderId="2" applyAlignment="1" pivotButton="0" quotePrefix="0" xfId="0">
      <alignment horizontal="right"/>
    </xf>
    <xf numFmtId="0" fontId="14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estimate</author>
  </authors>
  <commentList>
    <comment ref="C6" authorId="0" shapeId="0">
      <text>
        <t>Soft costs 12–15% locally; architecture alone 8–12% of construction.</t>
      </text>
    </comment>
    <comment ref="D21" authorId="0" shapeId="0">
      <text>
        <t>Small structures cost MORE per sf. Teton Valley small-custom $500–700/sf.</t>
      </text>
    </comment>
    <comment ref="D34" authorId="0" shapeId="0">
      <text>
        <t>$500 simple/efficient to $750 sleek w/ big glass. Single-story adds cost per sf.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1" customWidth="1" min="4" max="4"/>
    <col width="15" customWidth="1" min="5" max="5"/>
    <col width="47" customWidth="1" min="6" max="6"/>
  </cols>
  <sheetData>
    <row r="1">
      <c r="B1" s="1" t="inlineStr">
        <is>
          <t>Crossed Arrows Lot 3 — Build-Out Cost Model</t>
        </is>
      </c>
    </row>
    <row r="2">
      <c r="B2" s="2" t="inlineStr">
        <is>
          <t>Planning-grade estimate (±25%), 2026 Teton Valley dollars. Edit the blue cells to re-run.</t>
        </is>
      </c>
    </row>
    <row r="3">
      <c r="B3" s="3" t="inlineStr">
        <is>
          <t>Legend:  blue = input you can edit   ·   yellow = key assumption   ·   green = linked cell   ·   black = calculated</t>
        </is>
      </c>
    </row>
    <row r="5">
      <c r="B5" s="4" t="inlineStr">
        <is>
          <t>GLOBAL ASSUMPTIONS</t>
        </is>
      </c>
      <c r="C5" s="5" t="inlineStr"/>
      <c r="D5" s="5" t="inlineStr"/>
      <c r="E5" s="5" t="inlineStr"/>
      <c r="F5" s="5" t="inlineStr"/>
    </row>
    <row r="6">
      <c r="B6" s="6" t="inlineStr">
        <is>
          <t>Soft costs (design, engineering, permits, impact fees)</t>
        </is>
      </c>
      <c r="C6" s="7" t="n">
        <v>0.13</v>
      </c>
      <c r="F6" s="8" t="inlineStr">
        <is>
          <t>% of hard cost, each phase</t>
        </is>
      </c>
    </row>
    <row r="7">
      <c r="B7" s="6" t="inlineStr">
        <is>
          <t>Contingency</t>
        </is>
      </c>
      <c r="C7" s="7" t="n">
        <v>0.1</v>
      </c>
      <c r="F7" s="8" t="inlineStr">
        <is>
          <t>% of hard cost; 5–10%+ recommended</t>
        </is>
      </c>
    </row>
    <row r="8">
      <c r="B8" s="6" t="inlineStr">
        <is>
          <t>Land cost (separate from build-out)</t>
        </is>
      </c>
      <c r="E8" s="9" t="n">
        <v>500000</v>
      </c>
      <c r="F8" s="8" t="inlineStr">
        <is>
          <t>~24-ac comp bracket; ask seller for real number</t>
        </is>
      </c>
    </row>
    <row r="10">
      <c r="B10" s="4" t="inlineStr">
        <is>
          <t>SHARED SITE INFRASTRUCTURE  (build once, in Phase 1, sized for full build-out)</t>
        </is>
      </c>
      <c r="C10" s="5" t="inlineStr"/>
      <c r="D10" s="5" t="inlineStr"/>
      <c r="E10" s="5" t="inlineStr"/>
      <c r="F10" s="5" t="inlineStr"/>
    </row>
    <row r="11">
      <c r="B11" s="6" t="inlineStr">
        <is>
          <t>Well — drill + pump + pressure tank + permit</t>
        </is>
      </c>
      <c r="E11" s="10" t="n">
        <v>15000</v>
      </c>
      <c r="F11" s="8" t="inlineStr">
        <is>
          <t>Shallow locally (~60–105 ft); serves both structures</t>
        </is>
      </c>
    </row>
    <row r="12">
      <c r="B12" s="6" t="inlineStr">
        <is>
          <t>Septic — engineered/mound, sized for full build-out</t>
        </is>
      </c>
      <c r="E12" s="10" t="n">
        <v>32000</v>
      </c>
      <c r="F12" s="8" t="inlineStr">
        <is>
          <t>Drainfield sized for total bedrooms now (EIPH)</t>
        </is>
      </c>
    </row>
    <row r="13">
      <c r="B13" s="6" t="inlineStr">
        <is>
          <t>Electric — Fall River line ext + service (oversized)</t>
        </is>
      </c>
      <c r="E13" s="10" t="n">
        <v>22000</v>
      </c>
      <c r="F13" s="8" t="inlineStr">
        <is>
          <t>Panel/service sized for house + ADU</t>
        </is>
      </c>
    </row>
    <row r="14">
      <c r="B14" s="6" t="inlineStr">
        <is>
          <t>Driveway (gravel) + culvert + approach permit</t>
        </is>
      </c>
      <c r="E14" s="10" t="n">
        <v>18000</v>
      </c>
      <c r="F14" s="8" t="inlineStr">
        <is>
          <t>Built to final layout</t>
        </is>
      </c>
    </row>
    <row r="15">
      <c r="B15" s="6" t="inlineStr">
        <is>
          <t>Site prep — clear / grade whole site once</t>
        </is>
      </c>
      <c r="E15" s="10" t="n">
        <v>18000</v>
      </c>
      <c r="F15" s="8" t="inlineStr">
        <is>
          <t>Grade for both structures + house pad up front</t>
        </is>
      </c>
    </row>
    <row r="16">
      <c r="B16" s="6" t="inlineStr">
        <is>
          <t>Phase-2 readiness — stub utilities to house pad</t>
        </is>
      </c>
      <c r="E16" s="10" t="n">
        <v>12000</v>
      </c>
      <c r="F16" s="8" t="inlineStr">
        <is>
          <t>Water/power/conduit stubs so Phase 2 won't tear up finished ground</t>
        </is>
      </c>
    </row>
    <row r="17">
      <c r="B17" s="11" t="inlineStr">
        <is>
          <t>Shared site subtotal</t>
        </is>
      </c>
      <c r="E17" s="12">
        <f>SUM(E11:E16)</f>
        <v/>
      </c>
    </row>
    <row r="19">
      <c r="B19" s="4" t="inlineStr">
        <is>
          <t>PHASE 1 — BUNKHOUSE ADU + GARAGE</t>
        </is>
      </c>
      <c r="C19" s="5" t="inlineStr"/>
      <c r="D19" s="5" t="inlineStr"/>
      <c r="E19" s="5" t="inlineStr"/>
      <c r="F19" s="5" t="inlineStr"/>
    </row>
    <row r="20">
      <c r="B20" s="13" t="inlineStr">
        <is>
          <t>Item</t>
        </is>
      </c>
      <c r="C20" s="14" t="inlineStr">
        <is>
          <t>Size (sf)</t>
        </is>
      </c>
      <c r="D20" s="14" t="inlineStr">
        <is>
          <t>$/sf</t>
        </is>
      </c>
      <c r="E20" s="14" t="inlineStr">
        <is>
          <t>Amount</t>
        </is>
      </c>
      <c r="F20" s="13" t="inlineStr">
        <is>
          <t>Notes</t>
        </is>
      </c>
    </row>
    <row r="21">
      <c r="B21" s="6" t="inlineStr">
        <is>
          <t>ADU / bunkhouse (2-bed)</t>
        </is>
      </c>
      <c r="C21" s="15" t="n">
        <v>1500</v>
      </c>
      <c r="D21" s="16" t="n">
        <v>600</v>
      </c>
      <c r="E21" s="17">
        <f>C21*D21</f>
        <v/>
      </c>
      <c r="F21" s="8" t="inlineStr">
        <is>
          <t>1,500 sf = max ADU cap; $500–700/sf small custom</t>
        </is>
      </c>
    </row>
    <row r="22">
      <c r="B22" s="6" t="inlineStr">
        <is>
          <t>3-car garage / shop</t>
        </is>
      </c>
      <c r="C22" s="15" t="n">
        <v>800</v>
      </c>
      <c r="D22" s="16" t="n">
        <v>110</v>
      </c>
      <c r="E22" s="17">
        <f>C22*D22</f>
        <v/>
      </c>
      <c r="F22" s="8" t="inlineStr">
        <is>
          <t>~24x34; 2-car (~576 sf) saves ~$25k</t>
        </is>
      </c>
    </row>
    <row r="23">
      <c r="B23" s="6" t="inlineStr">
        <is>
          <t>Geothermal — ADU (~3 ton)</t>
        </is>
      </c>
      <c r="E23" s="10" t="n">
        <v>30000</v>
      </c>
      <c r="F23" s="8" t="inlineStr">
        <is>
          <t>Vertical loop; no federal credit (expired)</t>
        </is>
      </c>
    </row>
    <row r="24">
      <c r="B24" s="6" t="inlineStr">
        <is>
          <t>Solar 7–9 kW + 1 battery</t>
        </is>
      </c>
      <c r="E24" s="10" t="n">
        <v>40000</v>
      </c>
      <c r="F24" s="8" t="inlineStr">
        <is>
          <t>~$3/W + ~$13k battery</t>
        </is>
      </c>
    </row>
    <row r="25">
      <c r="B25" s="18" t="inlineStr">
        <is>
          <t>Buildings + systems subtotal</t>
        </is>
      </c>
      <c r="E25" s="19">
        <f>SUM(E21:E24)</f>
        <v/>
      </c>
    </row>
    <row r="26">
      <c r="B26" s="6" t="inlineStr">
        <is>
          <t>Shared site (from above)</t>
        </is>
      </c>
      <c r="E26" s="20">
        <f>E17</f>
        <v/>
      </c>
    </row>
    <row r="27">
      <c r="B27" s="18" t="inlineStr">
        <is>
          <t>Phase 1 hard cost</t>
        </is>
      </c>
      <c r="E27" s="19">
        <f>E25+E26</f>
        <v/>
      </c>
    </row>
    <row r="28">
      <c r="B28" s="6" t="inlineStr">
        <is>
          <t>Soft costs</t>
        </is>
      </c>
      <c r="E28" s="17">
        <f>E27*$C$6</f>
        <v/>
      </c>
    </row>
    <row r="29">
      <c r="B29" s="6" t="inlineStr">
        <is>
          <t>Contingency</t>
        </is>
      </c>
      <c r="E29" s="17">
        <f>E27*$C$7</f>
        <v/>
      </c>
    </row>
    <row r="30">
      <c r="B30" s="21" t="inlineStr">
        <is>
          <t>PHASE 1 ALL-IN</t>
        </is>
      </c>
      <c r="E30" s="22">
        <f>E27+E28+E29</f>
        <v/>
      </c>
    </row>
    <row r="32">
      <c r="B32" s="4" t="inlineStr">
        <is>
          <t>PHASE 2 — MAIN HOUSE (single story, planned from the start)</t>
        </is>
      </c>
      <c r="C32" s="5" t="inlineStr"/>
      <c r="D32" s="5" t="inlineStr"/>
      <c r="E32" s="5" t="inlineStr"/>
      <c r="F32" s="5" t="inlineStr"/>
    </row>
    <row r="33">
      <c r="B33" s="13" t="inlineStr">
        <is>
          <t>Item</t>
        </is>
      </c>
      <c r="C33" s="14" t="inlineStr">
        <is>
          <t>Size (sf)</t>
        </is>
      </c>
      <c r="D33" s="14" t="inlineStr">
        <is>
          <t>$/sf</t>
        </is>
      </c>
      <c r="E33" s="14" t="inlineStr">
        <is>
          <t>Amount</t>
        </is>
      </c>
      <c r="F33" s="13" t="inlineStr">
        <is>
          <t>Notes</t>
        </is>
      </c>
    </row>
    <row r="34">
      <c r="B34" s="6" t="inlineStr">
        <is>
          <t>Main house</t>
        </is>
      </c>
      <c r="C34" s="15" t="n">
        <v>3500</v>
      </c>
      <c r="D34" s="16" t="n">
        <v>600</v>
      </c>
      <c r="E34" s="17">
        <f>C34*D34</f>
        <v/>
      </c>
      <c r="F34" s="8" t="inlineStr">
        <is>
          <t>3,500 sf single-story; $500–750/sf (finish is the big dial)</t>
        </is>
      </c>
    </row>
    <row r="35">
      <c r="B35" s="6" t="inlineStr">
        <is>
          <t>Geothermal — main (~5 ton)</t>
        </is>
      </c>
      <c r="E35" s="10" t="n">
        <v>55000</v>
      </c>
      <c r="F35" s="8" t="inlineStr">
        <is>
          <t>Cold-climate load at ~6,200 ft</t>
        </is>
      </c>
    </row>
    <row r="36">
      <c r="B36" s="6" t="inlineStr">
        <is>
          <t>Solar expansion + 2nd battery</t>
        </is>
      </c>
      <c r="E36" s="10" t="n">
        <v>35000</v>
      </c>
      <c r="F36" s="8" t="inlineStr">
        <is>
          <t>Inverter/panel pre-sized in Phase 1</t>
        </is>
      </c>
    </row>
    <row r="37">
      <c r="B37" s="18" t="inlineStr">
        <is>
          <t>Phase 2 hard cost</t>
        </is>
      </c>
      <c r="E37" s="19">
        <f>SUM(E34:E36)</f>
        <v/>
      </c>
    </row>
    <row r="38">
      <c r="B38" s="6" t="inlineStr">
        <is>
          <t>Soft costs</t>
        </is>
      </c>
      <c r="E38" s="17">
        <f>E37*$C$6</f>
        <v/>
      </c>
    </row>
    <row r="39">
      <c r="B39" s="6" t="inlineStr">
        <is>
          <t>Contingency</t>
        </is>
      </c>
      <c r="E39" s="17">
        <f>E37*$C$7</f>
        <v/>
      </c>
    </row>
    <row r="40">
      <c r="B40" s="21" t="inlineStr">
        <is>
          <t>PHASE 2 ALL-IN</t>
        </is>
      </c>
      <c r="E40" s="22">
        <f>E37+E38+E39</f>
        <v/>
      </c>
    </row>
    <row r="42">
      <c r="B42" s="4" t="inlineStr">
        <is>
          <t>ALL-IN SUMMARY</t>
        </is>
      </c>
      <c r="C42" s="5" t="inlineStr"/>
      <c r="D42" s="5" t="inlineStr"/>
      <c r="E42" s="5" t="inlineStr"/>
      <c r="F42" s="5" t="inlineStr"/>
    </row>
    <row r="43">
      <c r="B43" s="6" t="inlineStr">
        <is>
          <t>Phase 1 (bunkhouse + garage + full site)</t>
        </is>
      </c>
      <c r="E43" s="17">
        <f>E30</f>
        <v/>
      </c>
    </row>
    <row r="44">
      <c r="B44" s="6" t="inlineStr">
        <is>
          <t>Phase 2 (main house)</t>
        </is>
      </c>
      <c r="E44" s="17">
        <f>E40</f>
        <v/>
      </c>
    </row>
    <row r="45">
      <c r="B45" s="23" t="inlineStr">
        <is>
          <t>BUILD-OUT TOTAL</t>
        </is>
      </c>
      <c r="E45" s="24">
        <f>E43+E44</f>
        <v/>
      </c>
    </row>
    <row r="46">
      <c r="B46" s="25" t="inlineStr">
        <is>
          <t>Land (if purchased — separate)</t>
        </is>
      </c>
      <c r="E46" s="20">
        <f>E8</f>
        <v/>
      </c>
    </row>
    <row r="47">
      <c r="B47" s="26" t="inlineStr">
        <is>
          <t>TOTAL INCLUDING LAND</t>
        </is>
      </c>
      <c r="C47" s="27" t="inlineStr"/>
      <c r="D47" s="27" t="inlineStr"/>
      <c r="E47" s="28">
        <f>E45+E46</f>
        <v/>
      </c>
    </row>
    <row r="49" ht="54" customHeight="1">
      <c r="B49" s="29" t="inlineStr">
        <is>
          <t>Planning-grade (±25%), not a bid. Excludes furnishings, landscaping beyond defensible space, snow-melt, financing carry. Finish level is the master dial (~$1M swing across $500–750/sf). Federal 30% energy credit expired 2025-12-31. Shared site is built once in Phase 1 and sized for the whole property so Phase 2 adds only the house. Verify $/sf with a local GC and septic type with EIPH test holes.</t>
        </is>
      </c>
    </row>
  </sheetData>
  <mergeCells count="4">
    <mergeCell ref="B2:F2"/>
    <mergeCell ref="B49:F49"/>
    <mergeCell ref="B1:F1"/>
    <mergeCell ref="B3:F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2026-07-20T13:46:17Z</dcterms:created>
  <dcterms:modified xsi:type="dcterms:W3CDTF">2026-07-20T13:46:17Z</dcterms:modified>
</cp:coreProperties>
</file>